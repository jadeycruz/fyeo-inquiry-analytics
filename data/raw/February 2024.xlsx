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1" sheetId="1" r:id="rId5"/>
    <sheet state="visible" name="W2" sheetId="2" r:id="rId6"/>
    <sheet state="visible" name="W3" sheetId="3" r:id="rId7"/>
    <sheet state="visible" name="W4" sheetId="4" r:id="rId8"/>
    <sheet state="visible" name="W5" sheetId="5" r:id="rId9"/>
    <sheet state="visible" name="Monthly Report" sheetId="6" r:id="rId10"/>
  </sheets>
  <definedNames/>
  <calcPr/>
</workbook>
</file>

<file path=xl/sharedStrings.xml><?xml version="1.0" encoding="utf-8"?>
<sst xmlns="http://schemas.openxmlformats.org/spreadsheetml/2006/main" count="1220" uniqueCount="136">
  <si>
    <t>Inquiry/Response</t>
  </si>
  <si>
    <t>Email</t>
  </si>
  <si>
    <t>Phone</t>
  </si>
  <si>
    <t>In-per</t>
  </si>
  <si>
    <t>D-Total</t>
  </si>
  <si>
    <t>Prim-Catgry Tot</t>
  </si>
  <si>
    <t xml:space="preserve">Categories </t>
  </si>
  <si>
    <t>Academic Advising Appointments</t>
  </si>
  <si>
    <t>Academics</t>
  </si>
  <si>
    <t>Academic Consideration Requests (ACRs) - Missing Classes</t>
  </si>
  <si>
    <t>Main Catergories Analysis</t>
  </si>
  <si>
    <t>#'s</t>
  </si>
  <si>
    <t xml:space="preserve">Top 5 Categories </t>
  </si>
  <si>
    <t>Academic Standing</t>
  </si>
  <si>
    <t xml:space="preserve">Academics </t>
  </si>
  <si>
    <t>Inquiry</t>
  </si>
  <si>
    <t>Amount</t>
  </si>
  <si>
    <t>Access Centre/Academic Accomodation Support</t>
  </si>
  <si>
    <t xml:space="preserve">Referral  </t>
  </si>
  <si>
    <t>ACES</t>
  </si>
  <si>
    <t>Financial</t>
  </si>
  <si>
    <t>Admissions</t>
  </si>
  <si>
    <t>Referral</t>
  </si>
  <si>
    <t>Mental Health and Wellness</t>
  </si>
  <si>
    <t>Advisement Report</t>
  </si>
  <si>
    <t>Other</t>
  </si>
  <si>
    <t>Appeals</t>
  </si>
  <si>
    <t>Awards/Scholarships</t>
  </si>
  <si>
    <t xml:space="preserve">Building and Campus access </t>
  </si>
  <si>
    <t>Inquiry Breakdown For Week</t>
  </si>
  <si>
    <t>Careers/Employment</t>
  </si>
  <si>
    <t xml:space="preserve">Monday </t>
  </si>
  <si>
    <t xml:space="preserve">Tuesday </t>
  </si>
  <si>
    <t xml:space="preserve">Wednesday </t>
  </si>
  <si>
    <t xml:space="preserve">Thursday </t>
  </si>
  <si>
    <t xml:space="preserve">Friday </t>
  </si>
  <si>
    <t>Method</t>
  </si>
  <si>
    <t>CCS/Student Help Desk</t>
  </si>
  <si>
    <t>CEN100</t>
  </si>
  <si>
    <t xml:space="preserve">Phone </t>
  </si>
  <si>
    <t>Chang School</t>
  </si>
  <si>
    <t>In-Person</t>
  </si>
  <si>
    <t>Computer Labs</t>
  </si>
  <si>
    <t>Inquiry Breakdown</t>
  </si>
  <si>
    <t>Contact Info Requests</t>
  </si>
  <si>
    <t>Coop</t>
  </si>
  <si>
    <t>Counselling Centre Appointments</t>
  </si>
  <si>
    <t>Inquiry Timings - Monday</t>
  </si>
  <si>
    <t xml:space="preserve">Course Delivery </t>
  </si>
  <si>
    <t>Time</t>
  </si>
  <si>
    <t>Number of People</t>
  </si>
  <si>
    <t>Topic of inquiries</t>
  </si>
  <si>
    <t>Course Drop</t>
  </si>
  <si>
    <t xml:space="preserve">Course Enrollment </t>
  </si>
  <si>
    <t>Course Intentions</t>
  </si>
  <si>
    <t>Course Outlines</t>
  </si>
  <si>
    <t>Course Planning/Course Load management</t>
  </si>
  <si>
    <t>Course Swap</t>
  </si>
  <si>
    <t>D2L</t>
  </si>
  <si>
    <t>Directions</t>
  </si>
  <si>
    <t xml:space="preserve">Discipline </t>
  </si>
  <si>
    <t xml:space="preserve">Early Intervention </t>
  </si>
  <si>
    <t>Inquiry Timings - Tuesday</t>
  </si>
  <si>
    <t>Engineering Program Transition Courses</t>
  </si>
  <si>
    <t>Topic of  inquiries</t>
  </si>
  <si>
    <t>Enrollment Period</t>
  </si>
  <si>
    <t>Exams/Mid-Terms</t>
  </si>
  <si>
    <t>Fees</t>
  </si>
  <si>
    <t>First Year Ambassador Program</t>
  </si>
  <si>
    <t>First Year in Two Years</t>
  </si>
  <si>
    <t>Fresh Start / Reinstatement</t>
  </si>
  <si>
    <t>General Academic Advising</t>
  </si>
  <si>
    <t>GPA/CGPA</t>
  </si>
  <si>
    <t>Graduate Studies</t>
  </si>
  <si>
    <t>Inquiry Timings - Wednesday</t>
  </si>
  <si>
    <t>Holidays, e.g. Reading Week, Stat Holidays, etc</t>
  </si>
  <si>
    <t>International Student Support</t>
  </si>
  <si>
    <t>Letter of Permission/Taking Courses outside TMU</t>
  </si>
  <si>
    <t>Liberals</t>
  </si>
  <si>
    <t>Lockers</t>
  </si>
  <si>
    <t>Lost and Found</t>
  </si>
  <si>
    <t>Math Centre</t>
  </si>
  <si>
    <t>Mentoring</t>
  </si>
  <si>
    <t>Mini Math</t>
  </si>
  <si>
    <t>Minors</t>
  </si>
  <si>
    <t>Inquiry Timings - Thursday</t>
  </si>
  <si>
    <t>MyServiceHub Navigation</t>
  </si>
  <si>
    <t>One Card</t>
  </si>
  <si>
    <t>Orientation</t>
  </si>
  <si>
    <t>OSAP</t>
  </si>
  <si>
    <t>OSMS/OSEIE</t>
  </si>
  <si>
    <t>Parents Night</t>
  </si>
  <si>
    <t>Plan Change</t>
  </si>
  <si>
    <t>Printing</t>
  </si>
  <si>
    <t>Probation Contract</t>
  </si>
  <si>
    <t>Inquiry Timings - Friday</t>
  </si>
  <si>
    <t>Probationary Standing</t>
  </si>
  <si>
    <t>Promotion to 2nd Year</t>
  </si>
  <si>
    <t>Proof of Enrollment/3rd Party Letter Request</t>
  </si>
  <si>
    <t>Required to Withdraw (RTW)</t>
  </si>
  <si>
    <t>Residence/Student Housing</t>
  </si>
  <si>
    <t>Retroactive Course Drop</t>
  </si>
  <si>
    <t>Service Hub</t>
  </si>
  <si>
    <t>Special Student (Not enrolled in Engineering at TMU)</t>
  </si>
  <si>
    <t>Student Clubs - General</t>
  </si>
  <si>
    <t>Student Life and Learning Support (SLLS)</t>
  </si>
  <si>
    <t>Study Halls</t>
  </si>
  <si>
    <t>Supplies Request, e.g. stapler, scissor, etc</t>
  </si>
  <si>
    <t>Test Center/Makeup Exam</t>
  </si>
  <si>
    <t>Toronto Mentropolitan Student Union (TMSU)</t>
  </si>
  <si>
    <t>Transfer Credits</t>
  </si>
  <si>
    <t>Transferring Programs - Outside of Engineering</t>
  </si>
  <si>
    <t>Tutoring - Student Learning Support</t>
  </si>
  <si>
    <t>Upper Year Students</t>
  </si>
  <si>
    <t>Wait List</t>
  </si>
  <si>
    <t>Withdrawal - Permanent</t>
  </si>
  <si>
    <t>Withdrawal - Short Term</t>
  </si>
  <si>
    <t>Writing Test/CEN 199</t>
  </si>
  <si>
    <t>Full Daily Total</t>
  </si>
  <si>
    <t>PEOPLE</t>
  </si>
  <si>
    <t>MONTH OF FEBRUARY</t>
  </si>
  <si>
    <t>Total Inquries:</t>
  </si>
  <si>
    <t xml:space="preserve">WEEKLY ANALYSIS </t>
  </si>
  <si>
    <t>WEEKLY TIME ANALYSIS</t>
  </si>
  <si>
    <t>Week</t>
  </si>
  <si>
    <t xml:space="preserve">Referral </t>
  </si>
  <si>
    <t xml:space="preserve"> # of ppl</t>
  </si>
  <si>
    <t>Week 1</t>
  </si>
  <si>
    <t>Week 2</t>
  </si>
  <si>
    <t>Week 3</t>
  </si>
  <si>
    <t>Week 4</t>
  </si>
  <si>
    <t>Week 5</t>
  </si>
  <si>
    <t xml:space="preserve">Monthly Total </t>
  </si>
  <si>
    <t>DELIVERY OF INQUIRIES ANALYSIS</t>
  </si>
  <si>
    <t>In-person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</si>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</sst>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dd, mmmm d"/>
    <numFmt numFmtId="165" formatCode="m-d"/>
  </numFmts>
  <fonts count="19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/>
    <font>
      <b/>
      <sz val="11.0"/>
      <color theme="1"/>
      <name val="&quot;Helvetica Neue&quot;"/>
    </font>
    <font>
      <b/>
      <sz val="11.0"/>
      <color theme="1"/>
      <name val="Arial"/>
    </font>
    <font>
      <b/>
      <sz val="10.0"/>
      <color rgb="FF4F4F4F"/>
      <name val="&quot;Helvetica Neue&quot;"/>
    </font>
    <font>
      <color theme="1"/>
      <name val="Arial"/>
    </font>
    <font>
      <sz val="11.0"/>
      <color theme="1"/>
      <name val="&quot;Helvetica Neue&quot;"/>
    </font>
    <font>
      <b/>
      <color theme="1"/>
      <name val="Arial"/>
    </font>
    <font>
      <b/>
      <sz val="11.0"/>
      <color theme="1"/>
      <name val="Calibri"/>
    </font>
    <font>
      <b/>
      <color rgb="FF434343"/>
      <name val="Arial"/>
      <scheme val="minor"/>
    </font>
    <font>
      <b/>
      <sz val="11.0"/>
      <color rgb="FF434343"/>
      <name val="Calibri"/>
    </font>
    <font>
      <sz val="11.0"/>
      <color rgb="FF000000"/>
      <name val="Calibri"/>
    </font>
    <font>
      <color theme="1"/>
      <name val="&quot;Helvetica Neue&quot;"/>
    </font>
    <font>
      <sz val="11.0"/>
      <color theme="1"/>
      <name val="Helvetica Neue"/>
    </font>
    <font>
      <b/>
      <sz val="10.0"/>
      <color rgb="FF4F4F4F"/>
      <name val="&quot;docs-Helvetica Neue&quot;"/>
    </font>
    <font>
      <sz val="11.0"/>
      <color theme="1"/>
      <name val="Calibri"/>
    </font>
    <font>
      <b/>
      <sz val="21.0"/>
      <color theme="1"/>
      <name val="Arial"/>
      <scheme val="minor"/>
    </font>
  </fonts>
  <fills count="25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D0E0E3"/>
        <bgColor rgb="FFD0E0E3"/>
      </patternFill>
    </fill>
    <fill>
      <patternFill patternType="solid">
        <fgColor rgb="FFD9D2E9"/>
        <bgColor rgb="FFD9D2E9"/>
      </patternFill>
    </fill>
    <fill>
      <patternFill patternType="solid">
        <fgColor rgb="FFF9E2E2"/>
        <bgColor rgb="FFF9E2E2"/>
      </patternFill>
    </fill>
    <fill>
      <patternFill patternType="solid">
        <fgColor rgb="FF00FFFF"/>
        <bgColor rgb="FF00FFFF"/>
      </patternFill>
    </fill>
    <fill>
      <patternFill patternType="solid">
        <fgColor rgb="FFFFFAEB"/>
        <bgColor rgb="FFFFFAEB"/>
      </patternFill>
    </fill>
    <fill>
      <patternFill patternType="solid">
        <fgColor rgb="FFD9D9D9"/>
        <bgColor rgb="FFD9D9D9"/>
      </patternFill>
    </fill>
    <fill>
      <patternFill patternType="solid">
        <fgColor rgb="FFFFF4F5"/>
        <bgColor rgb="FFFFF4F5"/>
      </patternFill>
    </fill>
    <fill>
      <patternFill patternType="solid">
        <fgColor rgb="FFC9DAF8"/>
        <bgColor rgb="FFC9DAF8"/>
      </patternFill>
    </fill>
    <fill>
      <patternFill patternType="solid">
        <fgColor rgb="FFF0F9ED"/>
        <bgColor rgb="FFF0F9ED"/>
      </patternFill>
    </fill>
    <fill>
      <patternFill patternType="solid">
        <fgColor rgb="FFF3F7FF"/>
        <bgColor rgb="FFF3F7FF"/>
      </patternFill>
    </fill>
    <fill>
      <patternFill patternType="solid">
        <fgColor rgb="FFFFBD79"/>
        <bgColor rgb="FFFFBD79"/>
      </patternFill>
    </fill>
    <fill>
      <patternFill patternType="solid">
        <fgColor rgb="FFFCE5CD"/>
        <bgColor rgb="FFFCE5CD"/>
      </patternFill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rgb="FFB4A7D6"/>
        <bgColor rgb="FFB4A7D6"/>
      </patternFill>
    </fill>
    <fill>
      <patternFill patternType="solid">
        <fgColor rgb="FFDFDBE8"/>
        <bgColor rgb="FFDFDBE8"/>
      </patternFill>
    </fill>
    <fill>
      <patternFill patternType="solid">
        <fgColor rgb="FFCFE2F3"/>
        <bgColor rgb="FFCFE2F3"/>
      </patternFill>
    </fill>
    <fill>
      <patternFill patternType="solid">
        <fgColor rgb="FFFFF2E4"/>
        <bgColor rgb="FFFFF2E4"/>
      </patternFill>
    </fill>
    <fill>
      <patternFill patternType="solid">
        <fgColor rgb="FFD9E5EF"/>
        <bgColor rgb="FFD9E5EF"/>
      </patternFill>
    </fill>
    <fill>
      <patternFill patternType="solid">
        <fgColor rgb="FFF6E3E3"/>
        <bgColor rgb="FFF6E3E3"/>
      </patternFill>
    </fill>
  </fills>
  <borders count="72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bottom style="thin">
        <color rgb="FF666666"/>
      </bottom>
    </border>
    <border>
      <right style="thin">
        <color rgb="FF999999"/>
      </right>
      <bottom style="thin">
        <color rgb="FF666666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7B7B7"/>
      </left>
      <right style="thin">
        <color rgb="FF666666"/>
      </right>
      <top style="thick">
        <color rgb="FF666666"/>
      </top>
      <bottom style="medium">
        <color rgb="FFB7B7B7"/>
      </bottom>
    </border>
    <border>
      <left style="thin">
        <color rgb="FF999999"/>
      </left>
      <top style="thin">
        <color rgb="FF666666"/>
      </top>
    </border>
    <border>
      <top style="thin">
        <color rgb="FF666666"/>
      </top>
    </border>
    <border>
      <right style="thin">
        <color rgb="FF999999"/>
      </right>
      <top style="thin">
        <color rgb="FF666666"/>
      </top>
    </border>
    <border>
      <right style="thin">
        <color rgb="FFCCCCCC"/>
      </right>
      <bottom style="thin">
        <color rgb="FFCCCCCC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left style="thin">
        <color rgb="FFCCCCCC"/>
      </left>
      <right style="thin">
        <color rgb="FF999999"/>
      </right>
      <bottom style="thin">
        <color rgb="FFCCCCCC"/>
      </bottom>
    </border>
    <border>
      <left style="thick">
        <color rgb="FF999999"/>
      </left>
      <right style="thin">
        <color rgb="FF000000"/>
      </right>
      <bottom style="thin">
        <color rgb="FF000000"/>
      </bottom>
    </border>
    <border>
      <left style="thin">
        <color rgb="FFB7B7B7"/>
      </left>
      <right style="thin">
        <color rgb="FF666666"/>
      </right>
      <bottom style="medium">
        <color rgb="FFB7B7B7"/>
      </bottom>
    </border>
    <border>
      <left style="thin">
        <color rgb="FF999999"/>
      </left>
    </border>
    <border>
      <right style="thin">
        <color rgb="FF999999"/>
      </right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999999"/>
      </left>
      <top style="thin">
        <color rgb="FF999999"/>
      </top>
    </border>
    <border>
      <right style="thin">
        <color rgb="FF999999"/>
      </right>
      <top style="thin">
        <color rgb="FF999999"/>
      </top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000000"/>
      </left>
      <top style="thick">
        <color rgb="FF999999"/>
      </top>
      <bottom style="thick">
        <color rgb="FF999999"/>
      </bottom>
    </border>
    <border>
      <top style="thick">
        <color rgb="FF999999"/>
      </top>
      <bottom style="thick">
        <color rgb="FF999999"/>
      </bottom>
    </border>
    <border>
      <right style="thin">
        <color rgb="FF000000"/>
      </right>
      <top style="thick">
        <color rgb="FF999999"/>
      </top>
      <bottom style="thick">
        <color rgb="FF999999"/>
      </bottom>
    </border>
    <border>
      <left style="thin">
        <color rgb="FF000000"/>
      </left>
      <right style="thin">
        <color rgb="FF000000"/>
      </right>
      <bottom style="thick">
        <color rgb="FF999999"/>
      </bottom>
    </border>
    <border>
      <right style="thin">
        <color rgb="FF000000"/>
      </right>
      <bottom style="thick">
        <color rgb="FF999999"/>
      </bottom>
    </border>
    <border>
      <right style="thick">
        <color rgb="FF999999"/>
      </right>
      <bottom style="thick">
        <color rgb="FF999999"/>
      </bottom>
    </border>
    <border>
      <left style="thin">
        <color rgb="FF000000"/>
      </left>
      <right style="thin">
        <color rgb="FF000000"/>
      </right>
    </border>
    <border>
      <right style="thick">
        <color rgb="FF999999"/>
      </right>
    </border>
    <border>
      <right style="thick">
        <color rgb="FF999999"/>
      </right>
      <bottom style="medium">
        <color rgb="FF000000"/>
      </bottom>
    </border>
    <border>
      <right style="medium">
        <color rgb="FF000000"/>
      </right>
      <bottom style="thick">
        <color rgb="FF999999"/>
      </bottom>
    </border>
    <border>
      <left style="thin">
        <color rgb="FF999999"/>
      </left>
      <top style="thin">
        <color rgb="FF000000"/>
      </top>
      <bottom style="thin">
        <color rgb="FF999999"/>
      </bottom>
    </border>
    <border>
      <top style="thin">
        <color rgb="FF000000"/>
      </top>
      <bottom style="thin">
        <color rgb="FF999999"/>
      </bottom>
    </border>
    <border>
      <right style="thin">
        <color rgb="FF999999"/>
      </right>
      <top style="thin">
        <color rgb="FF000000"/>
      </top>
      <bottom style="thin">
        <color rgb="FF999999"/>
      </bottom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right style="thin">
        <color rgb="FF999999"/>
      </right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bottom style="thin">
        <color rgb="FF999999"/>
      </bottom>
    </border>
    <border>
      <left style="thin">
        <color rgb="FF999999"/>
      </left>
      <bottom style="thin">
        <color rgb="FF999999"/>
      </bottom>
    </border>
    <border>
      <right style="thin">
        <color rgb="FF666666"/>
      </right>
      <bottom style="medium">
        <color rgb="FFB7B7B7"/>
      </bottom>
    </border>
    <border>
      <left style="thin">
        <color rgb="FFB7B7B7"/>
      </left>
      <right style="thin">
        <color rgb="FF666666"/>
      </right>
    </border>
    <border>
      <right style="thin">
        <color rgb="FFCCCCCC"/>
      </right>
      <top style="thin">
        <color rgb="FFCCCCCC"/>
      </top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434343"/>
      </left>
      <right style="thin">
        <color rgb="FF434343"/>
      </right>
      <bottom style="thin">
        <color rgb="FF434343"/>
      </bottom>
    </border>
    <border>
      <left style="thin">
        <color rgb="FF999999"/>
      </left>
      <bottom style="thin">
        <color rgb="FF666666"/>
      </bottom>
    </border>
    <border>
      <right style="thin">
        <color rgb="FFCCCCCC"/>
      </right>
    </border>
    <border>
      <left style="thin">
        <color rgb="FFCCCCCC"/>
      </left>
      <right style="thin">
        <color rgb="FF999999"/>
      </right>
    </border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</border>
    <border>
      <left style="thin">
        <color rgb="FF666666"/>
      </left>
      <bottom style="thin">
        <color rgb="FF666666"/>
      </bottom>
    </border>
    <border>
      <right style="thin">
        <color rgb="FF666666"/>
      </right>
      <bottom style="thin">
        <color rgb="FF666666"/>
      </bottom>
    </border>
    <border>
      <left style="thin">
        <color rgb="FF666666"/>
      </left>
      <top style="thin">
        <color rgb="FF666666"/>
      </top>
      <bottom style="thin">
        <color rgb="FF666666"/>
      </bottom>
    </border>
    <border>
      <top style="thin">
        <color rgb="FF666666"/>
      </top>
      <bottom style="thin">
        <color rgb="FF666666"/>
      </bottom>
    </border>
    <border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CCCCCC"/>
      </left>
      <bottom style="thin">
        <color rgb="FFCCCCCC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thin">
        <color rgb="FFB7B7B7"/>
      </right>
      <top style="thin">
        <color rgb="FF999999"/>
      </top>
      <bottom style="thin">
        <color rgb="FF999999"/>
      </bottom>
    </border>
    <border>
      <left style="thin">
        <color rgb="FF000000"/>
      </left>
      <right style="thin">
        <color rgb="FF999999"/>
      </right>
      <bottom style="thin">
        <color rgb="FF999999"/>
      </bottom>
    </border>
    <border>
      <right style="thin">
        <color rgb="FFB7B7B7"/>
      </right>
      <bottom style="thin">
        <color rgb="FF999999"/>
      </bottom>
    </border>
    <border>
      <left style="thin">
        <color rgb="FF000000"/>
      </left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999999"/>
      </bottom>
    </border>
  </borders>
  <cellStyleXfs count="1">
    <xf borderId="0" fillId="0" fontId="0" numFmtId="0" applyAlignment="1" applyFont="1"/>
  </cellStyleXfs>
  <cellXfs count="150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1" fillId="3" fontId="2" numFmtId="0" xfId="0" applyAlignment="1" applyBorder="1" applyFill="1" applyFont="1">
      <alignment horizontal="center" readingOrder="0"/>
    </xf>
    <xf borderId="2" fillId="0" fontId="3" numFmtId="0" xfId="0" applyBorder="1" applyFont="1"/>
    <xf borderId="3" fillId="0" fontId="3" numFmtId="0" xfId="0" applyBorder="1" applyFont="1"/>
    <xf borderId="1" fillId="3" fontId="2" numFmtId="164" xfId="0" applyAlignment="1" applyBorder="1" applyFont="1" applyNumberFormat="1">
      <alignment horizontal="center" readingOrder="0"/>
    </xf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3" fontId="2" numFmtId="0" xfId="0" applyAlignment="1" applyBorder="1" applyFont="1">
      <alignment horizontal="center" readingOrder="0"/>
    </xf>
    <xf borderId="8" fillId="4" fontId="2" numFmtId="0" xfId="0" applyAlignment="1" applyBorder="1" applyFill="1" applyFont="1">
      <alignment horizontal="center" readingOrder="0"/>
    </xf>
    <xf borderId="8" fillId="5" fontId="2" numFmtId="0" xfId="0" applyAlignment="1" applyBorder="1" applyFill="1" applyFont="1">
      <alignment horizontal="center" readingOrder="0"/>
    </xf>
    <xf borderId="8" fillId="6" fontId="2" numFmtId="0" xfId="0" applyAlignment="1" applyBorder="1" applyFill="1" applyFont="1">
      <alignment horizontal="center" readingOrder="0"/>
    </xf>
    <xf borderId="9" fillId="0" fontId="2" numFmtId="0" xfId="0" applyAlignment="1" applyBorder="1" applyFont="1">
      <alignment horizontal="center" readingOrder="0"/>
    </xf>
    <xf borderId="10" fillId="7" fontId="4" numFmtId="0" xfId="0" applyAlignment="1" applyBorder="1" applyFill="1" applyFont="1">
      <alignment horizontal="center" readingOrder="0" vertical="bottom"/>
    </xf>
    <xf borderId="0" fillId="8" fontId="5" numFmtId="0" xfId="0" applyAlignment="1" applyFill="1" applyFont="1">
      <alignment horizontal="center" vertical="bottom"/>
    </xf>
    <xf borderId="11" fillId="9" fontId="6" numFmtId="0" xfId="0" applyBorder="1" applyFill="1" applyFont="1"/>
    <xf borderId="12" fillId="10" fontId="7" numFmtId="0" xfId="0" applyAlignment="1" applyBorder="1" applyFill="1" applyFont="1">
      <alignment vertical="bottom"/>
    </xf>
    <xf borderId="13" fillId="10" fontId="7" numFmtId="0" xfId="0" applyAlignment="1" applyBorder="1" applyFont="1">
      <alignment vertical="bottom"/>
    </xf>
    <xf borderId="14" fillId="10" fontId="7" numFmtId="0" xfId="0" applyAlignment="1" applyBorder="1" applyFont="1">
      <alignment horizontal="right" vertical="bottom"/>
    </xf>
    <xf borderId="12" fillId="10" fontId="7" numFmtId="0" xfId="0" applyAlignment="1" applyBorder="1" applyFont="1">
      <alignment vertical="bottom"/>
    </xf>
    <xf borderId="15" fillId="0" fontId="1" numFmtId="0" xfId="0" applyBorder="1" applyFont="1"/>
    <xf borderId="16" fillId="0" fontId="1" numFmtId="0" xfId="0" applyBorder="1" applyFont="1"/>
    <xf borderId="17" fillId="0" fontId="1" numFmtId="0" xfId="0" applyBorder="1" applyFont="1"/>
    <xf borderId="18" fillId="11" fontId="8" numFmtId="0" xfId="0" applyAlignment="1" applyBorder="1" applyFill="1" applyFont="1">
      <alignment horizontal="center" readingOrder="0" vertical="bottom"/>
    </xf>
    <xf borderId="0" fillId="0" fontId="7" numFmtId="0" xfId="0" applyAlignment="1" applyFont="1">
      <alignment readingOrder="0" vertical="bottom"/>
    </xf>
    <xf borderId="19" fillId="9" fontId="6" numFmtId="0" xfId="0" applyBorder="1" applyFont="1"/>
    <xf borderId="20" fillId="10" fontId="7" numFmtId="0" xfId="0" applyAlignment="1" applyBorder="1" applyFont="1">
      <alignment vertical="bottom"/>
    </xf>
    <xf borderId="0" fillId="10" fontId="7" numFmtId="0" xfId="0" applyAlignment="1" applyFont="1">
      <alignment vertical="bottom"/>
    </xf>
    <xf borderId="21" fillId="10" fontId="7" numFmtId="0" xfId="0" applyAlignment="1" applyBorder="1" applyFont="1">
      <alignment horizontal="right" vertical="bottom"/>
    </xf>
    <xf borderId="22" fillId="0" fontId="1" numFmtId="0" xfId="0" applyBorder="1" applyFont="1"/>
    <xf borderId="23" fillId="0" fontId="1" numFmtId="0" xfId="0" applyBorder="1" applyFont="1"/>
    <xf borderId="24" fillId="12" fontId="9" numFmtId="0" xfId="0" applyAlignment="1" applyBorder="1" applyFill="1" applyFont="1">
      <alignment horizontal="left" vertical="bottom"/>
    </xf>
    <xf borderId="25" fillId="12" fontId="7" numFmtId="0" xfId="0" applyAlignment="1" applyBorder="1" applyFont="1">
      <alignment horizontal="center" readingOrder="0" vertical="bottom"/>
    </xf>
    <xf borderId="0" fillId="0" fontId="1" numFmtId="0" xfId="0" applyAlignment="1" applyFont="1">
      <alignment readingOrder="0"/>
    </xf>
    <xf borderId="26" fillId="13" fontId="10" numFmtId="0" xfId="0" applyAlignment="1" applyBorder="1" applyFill="1" applyFont="1">
      <alignment horizontal="center" vertical="bottom"/>
    </xf>
    <xf borderId="27" fillId="0" fontId="3" numFmtId="0" xfId="0" applyBorder="1" applyFont="1"/>
    <xf borderId="28" fillId="0" fontId="3" numFmtId="0" xfId="0" applyBorder="1" applyFont="1"/>
    <xf borderId="22" fillId="0" fontId="1" numFmtId="0" xfId="0" applyAlignment="1" applyBorder="1" applyFont="1">
      <alignment readingOrder="0"/>
    </xf>
    <xf borderId="29" fillId="14" fontId="7" numFmtId="0" xfId="0" applyAlignment="1" applyBorder="1" applyFill="1" applyFont="1">
      <alignment vertical="bottom"/>
    </xf>
    <xf borderId="29" fillId="14" fontId="7" numFmtId="0" xfId="0" applyAlignment="1" applyBorder="1" applyFont="1">
      <alignment horizontal="right" vertical="bottom"/>
    </xf>
    <xf borderId="29" fillId="13" fontId="1" numFmtId="0" xfId="0" applyBorder="1" applyFont="1"/>
    <xf borderId="29" fillId="13" fontId="11" numFmtId="0" xfId="0" applyAlignment="1" applyBorder="1" applyFont="1">
      <alignment horizontal="center" readingOrder="0"/>
    </xf>
    <xf borderId="29" fillId="14" fontId="1" numFmtId="0" xfId="0" applyAlignment="1" applyBorder="1" applyFont="1">
      <alignment readingOrder="0"/>
    </xf>
    <xf borderId="29" fillId="14" fontId="1" numFmtId="0" xfId="0" applyBorder="1" applyFont="1"/>
    <xf borderId="29" fillId="13" fontId="12" numFmtId="0" xfId="0" applyAlignment="1" applyBorder="1" applyFont="1">
      <alignment horizontal="center" vertical="bottom"/>
    </xf>
    <xf borderId="29" fillId="13" fontId="13" numFmtId="0" xfId="0" applyAlignment="1" applyBorder="1" applyFont="1">
      <alignment horizontal="center" vertical="bottom"/>
    </xf>
    <xf borderId="29" fillId="13" fontId="13" numFmtId="0" xfId="0" applyAlignment="1" applyBorder="1" applyFont="1">
      <alignment horizontal="center" readingOrder="0" vertical="bottom"/>
    </xf>
    <xf borderId="29" fillId="14" fontId="7" numFmtId="0" xfId="0" applyAlignment="1" applyBorder="1" applyFont="1">
      <alignment readingOrder="0"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horizontal="right" vertical="bottom"/>
    </xf>
    <xf borderId="30" fillId="15" fontId="4" numFmtId="0" xfId="0" applyAlignment="1" applyBorder="1" applyFill="1" applyFont="1">
      <alignment horizontal="center" readingOrder="0" vertical="bottom"/>
    </xf>
    <xf borderId="31" fillId="0" fontId="3" numFmtId="0" xfId="0" applyBorder="1" applyFont="1"/>
    <xf borderId="32" fillId="0" fontId="3" numFmtId="0" xfId="0" applyBorder="1" applyFont="1"/>
    <xf borderId="33" fillId="15" fontId="7" numFmtId="0" xfId="0" applyAlignment="1" applyBorder="1" applyFont="1">
      <alignment vertical="bottom"/>
    </xf>
    <xf borderId="34" fillId="15" fontId="8" numFmtId="0" xfId="0" applyAlignment="1" applyBorder="1" applyFont="1">
      <alignment horizontal="center" vertical="bottom"/>
    </xf>
    <xf borderId="35" fillId="15" fontId="8" numFmtId="0" xfId="0" applyAlignment="1" applyBorder="1" applyFont="1">
      <alignment horizontal="center" vertical="bottom"/>
    </xf>
    <xf borderId="35" fillId="15" fontId="14" numFmtId="0" xfId="0" applyAlignment="1" applyBorder="1" applyFont="1">
      <alignment horizontal="center" vertical="bottom"/>
    </xf>
    <xf borderId="35" fillId="15" fontId="9" numFmtId="0" xfId="0" applyAlignment="1" applyBorder="1" applyFont="1">
      <alignment horizontal="center" vertical="bottom"/>
    </xf>
    <xf borderId="36" fillId="15" fontId="8" numFmtId="0" xfId="0" applyAlignment="1" applyBorder="1" applyFont="1">
      <alignment vertical="bottom"/>
    </xf>
    <xf borderId="7" fillId="16" fontId="8" numFmtId="0" xfId="0" applyAlignment="1" applyBorder="1" applyFill="1" applyFont="1">
      <alignment horizontal="center" vertical="bottom"/>
    </xf>
    <xf borderId="37" fillId="16" fontId="7" numFmtId="0" xfId="0" applyAlignment="1" applyBorder="1" applyFont="1">
      <alignment horizontal="center" vertical="bottom"/>
    </xf>
    <xf borderId="7" fillId="16" fontId="14" numFmtId="0" xfId="0" applyAlignment="1" applyBorder="1" applyFont="1">
      <alignment horizontal="center" vertical="bottom"/>
    </xf>
    <xf borderId="20" fillId="10" fontId="7" numFmtId="0" xfId="0" applyAlignment="1" applyBorder="1" applyFont="1">
      <alignment vertical="bottom"/>
    </xf>
    <xf borderId="23" fillId="0" fontId="1" numFmtId="0" xfId="0" applyAlignment="1" applyBorder="1" applyFont="1">
      <alignment readingOrder="0"/>
    </xf>
    <xf borderId="7" fillId="16" fontId="8" numFmtId="0" xfId="0" applyAlignment="1" applyBorder="1" applyFont="1">
      <alignment horizontal="center" readingOrder="0" vertical="bottom"/>
    </xf>
    <xf borderId="38" fillId="16" fontId="7" numFmtId="0" xfId="0" applyAlignment="1" applyBorder="1" applyFont="1">
      <alignment horizontal="center" vertical="bottom"/>
    </xf>
    <xf borderId="33" fillId="15" fontId="15" numFmtId="0" xfId="0" applyAlignment="1" applyBorder="1" applyFont="1">
      <alignment readingOrder="0" vertical="bottom"/>
    </xf>
    <xf borderId="34" fillId="16" fontId="8" numFmtId="0" xfId="0" applyAlignment="1" applyBorder="1" applyFont="1">
      <alignment horizontal="center" vertical="bottom"/>
    </xf>
    <xf borderId="39" fillId="16" fontId="8" numFmtId="0" xfId="0" applyAlignment="1" applyBorder="1" applyFont="1">
      <alignment horizontal="center" vertical="bottom"/>
    </xf>
    <xf borderId="19" fillId="9" fontId="6" numFmtId="0" xfId="0" applyAlignment="1" applyBorder="1" applyFont="1">
      <alignment readingOrder="0"/>
    </xf>
    <xf borderId="40" fillId="17" fontId="9" numFmtId="0" xfId="0" applyAlignment="1" applyBorder="1" applyFill="1" applyFont="1">
      <alignment horizontal="center" readingOrder="0" vertical="bottom"/>
    </xf>
    <xf borderId="41" fillId="0" fontId="3" numFmtId="0" xfId="0" applyBorder="1" applyFont="1"/>
    <xf borderId="42" fillId="0" fontId="3" numFmtId="0" xfId="0" applyBorder="1" applyFont="1"/>
    <xf borderId="43" fillId="10" fontId="7" numFmtId="0" xfId="0" applyAlignment="1" applyBorder="1" applyFont="1">
      <alignment horizontal="center" vertical="bottom"/>
    </xf>
    <xf borderId="44" fillId="10" fontId="7" numFmtId="0" xfId="0" applyAlignment="1" applyBorder="1" applyFont="1">
      <alignment horizontal="center" vertical="bottom"/>
    </xf>
    <xf borderId="43" fillId="10" fontId="7" numFmtId="165" xfId="0" applyAlignment="1" applyBorder="1" applyFont="1" applyNumberFormat="1">
      <alignment horizontal="center" vertical="bottom"/>
    </xf>
    <xf borderId="44" fillId="17" fontId="7" numFmtId="0" xfId="0" applyAlignment="1" applyBorder="1" applyFont="1">
      <alignment horizontal="center" vertical="bottom"/>
    </xf>
    <xf borderId="45" fillId="17" fontId="7" numFmtId="0" xfId="0" applyAlignment="1" applyBorder="1" applyFont="1">
      <alignment vertical="bottom"/>
    </xf>
    <xf borderId="46" fillId="17" fontId="7" numFmtId="0" xfId="0" applyAlignment="1" applyBorder="1" applyFont="1">
      <alignment vertical="bottom"/>
    </xf>
    <xf borderId="43" fillId="17" fontId="7" numFmtId="0" xfId="0" applyAlignment="1" applyBorder="1" applyFont="1">
      <alignment vertical="bottom"/>
    </xf>
    <xf borderId="44" fillId="17" fontId="7" numFmtId="0" xfId="0" applyAlignment="1" applyBorder="1" applyFont="1">
      <alignment vertical="bottom"/>
    </xf>
    <xf borderId="47" fillId="0" fontId="7" numFmtId="0" xfId="0" applyAlignment="1" applyBorder="1" applyFont="1">
      <alignment vertical="bottom"/>
    </xf>
    <xf borderId="48" fillId="17" fontId="9" numFmtId="0" xfId="0" applyAlignment="1" applyBorder="1" applyFont="1">
      <alignment horizontal="center" readingOrder="0" vertical="bottom"/>
    </xf>
    <xf borderId="47" fillId="0" fontId="3" numFmtId="0" xfId="0" applyBorder="1" applyFont="1"/>
    <xf borderId="44" fillId="0" fontId="3" numFmtId="0" xfId="0" applyBorder="1" applyFont="1"/>
    <xf borderId="49" fillId="9" fontId="6" numFmtId="0" xfId="0" applyBorder="1" applyFont="1"/>
    <xf borderId="21" fillId="10" fontId="7" numFmtId="0" xfId="0" applyAlignment="1" applyBorder="1" applyFont="1">
      <alignment horizontal="center" vertical="bottom"/>
    </xf>
    <xf borderId="19" fillId="9" fontId="16" numFmtId="0" xfId="0" applyAlignment="1" applyBorder="1" applyFont="1">
      <alignment vertical="bottom"/>
    </xf>
    <xf borderId="48" fillId="10" fontId="7" numFmtId="165" xfId="0" applyAlignment="1" applyBorder="1" applyFont="1" applyNumberFormat="1">
      <alignment horizontal="center" vertical="bottom"/>
    </xf>
    <xf borderId="45" fillId="17" fontId="1" numFmtId="0" xfId="0" applyBorder="1" applyFont="1"/>
    <xf borderId="45" fillId="17" fontId="7" numFmtId="0" xfId="0" applyAlignment="1" applyBorder="1" applyFont="1">
      <alignment horizontal="center" vertical="bottom"/>
    </xf>
    <xf borderId="0" fillId="0" fontId="17" numFmtId="0" xfId="0" applyAlignment="1" applyFont="1">
      <alignment horizontal="center" vertical="bottom"/>
    </xf>
    <xf borderId="0" fillId="0" fontId="17" numFmtId="0" xfId="0" applyAlignment="1" applyFont="1">
      <alignment horizontal="center" readingOrder="0" vertical="bottom"/>
    </xf>
    <xf borderId="50" fillId="9" fontId="6" numFmtId="0" xfId="0" applyBorder="1" applyFont="1"/>
    <xf borderId="45" fillId="9" fontId="6" numFmtId="0" xfId="0" applyBorder="1" applyFont="1"/>
    <xf borderId="51" fillId="0" fontId="1" numFmtId="0" xfId="0" applyBorder="1" applyFont="1"/>
    <xf borderId="52" fillId="0" fontId="1" numFmtId="0" xfId="0" applyBorder="1" applyFont="1"/>
    <xf borderId="51" fillId="0" fontId="1" numFmtId="0" xfId="0" applyAlignment="1" applyBorder="1" applyFont="1">
      <alignment readingOrder="0"/>
    </xf>
    <xf borderId="52" fillId="0" fontId="1" numFmtId="0" xfId="0" applyAlignment="1" applyBorder="1" applyFont="1">
      <alignment readingOrder="0"/>
    </xf>
    <xf borderId="53" fillId="18" fontId="2" numFmtId="0" xfId="0" applyAlignment="1" applyBorder="1" applyFill="1" applyFont="1">
      <alignment horizontal="center" readingOrder="0"/>
    </xf>
    <xf borderId="54" fillId="10" fontId="7" numFmtId="0" xfId="0" applyAlignment="1" applyBorder="1" applyFont="1">
      <alignment horizontal="right" vertical="bottom"/>
    </xf>
    <xf borderId="8" fillId="10" fontId="7" numFmtId="0" xfId="0" applyAlignment="1" applyBorder="1" applyFont="1">
      <alignment horizontal="right" vertical="bottom"/>
    </xf>
    <xf borderId="9" fillId="10" fontId="7" numFmtId="0" xfId="0" applyAlignment="1" applyBorder="1" applyFont="1">
      <alignment vertical="bottom"/>
    </xf>
    <xf borderId="55" fillId="0" fontId="1" numFmtId="0" xfId="0" applyBorder="1" applyFont="1"/>
    <xf borderId="56" fillId="0" fontId="1" numFmtId="0" xfId="0" applyBorder="1" applyFont="1"/>
    <xf borderId="57" fillId="18" fontId="2" numFmtId="0" xfId="0" applyAlignment="1" applyBorder="1" applyFont="1">
      <alignment horizontal="center" readingOrder="0"/>
    </xf>
    <xf borderId="58" fillId="10" fontId="7" numFmtId="0" xfId="0" applyAlignment="1" applyBorder="1" applyFont="1">
      <alignment vertical="bottom"/>
    </xf>
    <xf borderId="8" fillId="0" fontId="3" numFmtId="0" xfId="0" applyBorder="1" applyFont="1"/>
    <xf borderId="59" fillId="0" fontId="3" numFmtId="0" xfId="0" applyBorder="1" applyFont="1"/>
    <xf borderId="60" fillId="0" fontId="1" numFmtId="0" xfId="0" applyAlignment="1" applyBorder="1" applyFont="1">
      <alignment readingOrder="0"/>
    </xf>
    <xf borderId="61" fillId="0" fontId="3" numFmtId="0" xfId="0" applyBorder="1" applyFont="1"/>
    <xf borderId="62" fillId="0" fontId="3" numFmtId="0" xfId="0" applyBorder="1" applyFont="1"/>
    <xf borderId="15" fillId="0" fontId="1" numFmtId="0" xfId="0" applyAlignment="1" applyBorder="1" applyFont="1">
      <alignment readingOrder="0"/>
    </xf>
    <xf borderId="61" fillId="0" fontId="1" numFmtId="0" xfId="0" applyAlignment="1" applyBorder="1" applyFont="1">
      <alignment horizontal="center" readingOrder="0"/>
    </xf>
    <xf borderId="60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/>
    </xf>
    <xf borderId="16" fillId="0" fontId="1" numFmtId="0" xfId="0" applyAlignment="1" applyBorder="1" applyFont="1">
      <alignment readingOrder="0"/>
    </xf>
    <xf borderId="61" fillId="0" fontId="1" numFmtId="0" xfId="0" applyAlignment="1" applyBorder="1" applyFont="1">
      <alignment readingOrder="0"/>
    </xf>
    <xf borderId="63" fillId="0" fontId="1" numFmtId="0" xfId="0" applyBorder="1" applyFont="1"/>
    <xf borderId="6" fillId="11" fontId="8" numFmtId="0" xfId="0" applyAlignment="1" applyBorder="1" applyFont="1">
      <alignment horizontal="center" readingOrder="0" vertical="bottom"/>
    </xf>
    <xf borderId="0" fillId="19" fontId="18" numFmtId="0" xfId="0" applyAlignment="1" applyFill="1" applyFont="1">
      <alignment horizontal="center" readingOrder="0" vertical="top"/>
    </xf>
    <xf borderId="45" fillId="20" fontId="2" numFmtId="0" xfId="0" applyAlignment="1" applyBorder="1" applyFill="1" applyFont="1">
      <alignment readingOrder="0"/>
    </xf>
    <xf borderId="45" fillId="20" fontId="2" numFmtId="0" xfId="0" applyBorder="1" applyFont="1"/>
    <xf borderId="64" fillId="16" fontId="2" numFmtId="0" xfId="0" applyAlignment="1" applyBorder="1" applyFont="1">
      <alignment horizontal="center" readingOrder="0"/>
    </xf>
    <xf borderId="65" fillId="0" fontId="3" numFmtId="0" xfId="0" applyBorder="1" applyFont="1"/>
    <xf borderId="66" fillId="0" fontId="3" numFmtId="0" xfId="0" applyBorder="1" applyFont="1"/>
    <xf borderId="0" fillId="0" fontId="2" numFmtId="0" xfId="0" applyAlignment="1" applyFont="1">
      <alignment horizontal="center" readingOrder="0"/>
    </xf>
    <xf borderId="26" fillId="21" fontId="2" numFmtId="0" xfId="0" applyAlignment="1" applyBorder="1" applyFill="1" applyFont="1">
      <alignment horizontal="center" readingOrder="0"/>
    </xf>
    <xf borderId="67" fillId="22" fontId="2" numFmtId="0" xfId="0" applyAlignment="1" applyBorder="1" applyFill="1" applyFont="1">
      <alignment horizontal="center" readingOrder="0"/>
    </xf>
    <xf borderId="47" fillId="22" fontId="2" numFmtId="0" xfId="0" applyAlignment="1" applyBorder="1" applyFont="1">
      <alignment horizontal="center" readingOrder="0"/>
    </xf>
    <xf borderId="68" fillId="22" fontId="2" numFmtId="0" xfId="0" applyAlignment="1" applyBorder="1" applyFont="1">
      <alignment horizontal="center" readingOrder="0"/>
    </xf>
    <xf borderId="29" fillId="23" fontId="2" numFmtId="0" xfId="0" applyAlignment="1" applyBorder="1" applyFill="1" applyFont="1">
      <alignment horizontal="center" readingOrder="0"/>
    </xf>
    <xf borderId="69" fillId="22" fontId="1" numFmtId="0" xfId="0" applyAlignment="1" applyBorder="1" applyFont="1">
      <alignment horizontal="center" readingOrder="0"/>
    </xf>
    <xf borderId="70" fillId="22" fontId="1" numFmtId="0" xfId="0" applyAlignment="1" applyBorder="1" applyFont="1">
      <alignment horizontal="center"/>
    </xf>
    <xf borderId="29" fillId="23" fontId="1" numFmtId="165" xfId="0" applyAlignment="1" applyBorder="1" applyFont="1" applyNumberFormat="1">
      <alignment horizontal="center" readingOrder="0"/>
    </xf>
    <xf borderId="29" fillId="23" fontId="1" numFmtId="0" xfId="0" applyBorder="1" applyFont="1"/>
    <xf borderId="29" fillId="22" fontId="1" numFmtId="0" xfId="0" applyAlignment="1" applyBorder="1" applyFont="1">
      <alignment horizontal="center"/>
    </xf>
    <xf borderId="4" fillId="22" fontId="2" numFmtId="0" xfId="0" applyAlignment="1" applyBorder="1" applyFont="1">
      <alignment horizontal="center" readingOrder="0"/>
    </xf>
    <xf borderId="71" fillId="22" fontId="1" numFmtId="0" xfId="0" applyAlignment="1" applyBorder="1" applyFont="1">
      <alignment horizontal="center"/>
    </xf>
    <xf borderId="64" fillId="4" fontId="2" numFmtId="0" xfId="0" applyAlignment="1" applyBorder="1" applyFont="1">
      <alignment horizontal="center" readingOrder="0"/>
    </xf>
    <xf borderId="46" fillId="0" fontId="3" numFmtId="0" xfId="0" applyBorder="1" applyFont="1"/>
    <xf borderId="67" fillId="24" fontId="2" numFmtId="0" xfId="0" applyAlignment="1" applyBorder="1" applyFill="1" applyFont="1">
      <alignment horizontal="center" readingOrder="0"/>
    </xf>
    <xf borderId="47" fillId="24" fontId="2" numFmtId="0" xfId="0" applyAlignment="1" applyBorder="1" applyFont="1">
      <alignment horizontal="center" readingOrder="0"/>
    </xf>
    <xf borderId="44" fillId="24" fontId="2" numFmtId="0" xfId="0" applyAlignment="1" applyBorder="1" applyFont="1">
      <alignment horizontal="center" readingOrder="0"/>
    </xf>
    <xf borderId="69" fillId="24" fontId="1" numFmtId="0" xfId="0" applyAlignment="1" applyBorder="1" applyFont="1">
      <alignment horizontal="center" readingOrder="0"/>
    </xf>
    <xf borderId="70" fillId="24" fontId="1" numFmtId="0" xfId="0" applyAlignment="1" applyBorder="1" applyFont="1">
      <alignment horizontal="center"/>
    </xf>
    <xf borderId="29" fillId="24" fontId="1" numFmtId="0" xfId="0" applyAlignment="1" applyBorder="1" applyFont="1">
      <alignment horizontal="center"/>
    </xf>
    <xf borderId="4" fillId="24" fontId="2" numFmtId="0" xfId="0" applyAlignment="1" applyBorder="1" applyFont="1">
      <alignment horizontal="center" readingOrder="0"/>
    </xf>
    <xf borderId="71" fillId="24" fontId="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WEEKLY CATEGORY ANALYSIS 					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'Monthly Report'!$B$10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'Monthly Report'!$A$11:$A$15</c:f>
            </c:strRef>
          </c:cat>
          <c:val>
            <c:numRef>
              <c:f>'Monthly Report'!$B$11:$B$15</c:f>
              <c:numCache/>
            </c:numRef>
          </c:val>
        </c:ser>
        <c:ser>
          <c:idx val="1"/>
          <c:order val="1"/>
          <c:tx>
            <c:strRef>
              <c:f>'Monthly Report'!$C$10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'Monthly Report'!$A$11:$A$15</c:f>
            </c:strRef>
          </c:cat>
          <c:val>
            <c:numRef>
              <c:f>'Monthly Report'!$C$11:$C$15</c:f>
              <c:numCache/>
            </c:numRef>
          </c:val>
        </c:ser>
        <c:ser>
          <c:idx val="2"/>
          <c:order val="2"/>
          <c:tx>
            <c:strRef>
              <c:f>'Monthly Report'!$D$10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'Monthly Report'!$A$11:$A$15</c:f>
            </c:strRef>
          </c:cat>
          <c:val>
            <c:numRef>
              <c:f>'Monthly Report'!$D$11:$D$15</c:f>
              <c:numCache/>
            </c:numRef>
          </c:val>
        </c:ser>
        <c:ser>
          <c:idx val="3"/>
          <c:order val="3"/>
          <c:tx>
            <c:strRef>
              <c:f>'Monthly Report'!$E$10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'Monthly Report'!$A$11:$A$15</c:f>
            </c:strRef>
          </c:cat>
          <c:val>
            <c:numRef>
              <c:f>'Monthly Report'!$E$11:$E$15</c:f>
              <c:numCache/>
            </c:numRef>
          </c:val>
        </c:ser>
        <c:ser>
          <c:idx val="4"/>
          <c:order val="4"/>
          <c:tx>
            <c:strRef>
              <c:f>'Monthly Report'!$F$10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'Monthly Report'!$A$11:$A$15</c:f>
            </c:strRef>
          </c:cat>
          <c:val>
            <c:numRef>
              <c:f>'Monthly Report'!$F$11:$F$15</c:f>
              <c:numCache/>
            </c:numRef>
          </c:val>
        </c:ser>
        <c:axId val="1986460298"/>
        <c:axId val="1205431409"/>
      </c:barChart>
      <c:catAx>
        <c:axId val="19864602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Week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5431409"/>
      </c:catAx>
      <c:valAx>
        <c:axId val="12054314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Inquiries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646029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Email, Phone and In-person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'Monthly Report'!$B$20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'Monthly Report'!$A$21:$A$25</c:f>
            </c:strRef>
          </c:cat>
          <c:val>
            <c:numRef>
              <c:f>'Monthly Report'!$B$21:$B$25</c:f>
              <c:numCache/>
            </c:numRef>
          </c:val>
        </c:ser>
        <c:ser>
          <c:idx val="1"/>
          <c:order val="1"/>
          <c:tx>
            <c:strRef>
              <c:f>'Monthly Report'!$C$20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'Monthly Report'!$A$21:$A$25</c:f>
            </c:strRef>
          </c:cat>
          <c:val>
            <c:numRef>
              <c:f>'Monthly Report'!$C$21:$C$25</c:f>
              <c:numCache/>
            </c:numRef>
          </c:val>
        </c:ser>
        <c:ser>
          <c:idx val="2"/>
          <c:order val="2"/>
          <c:tx>
            <c:strRef>
              <c:f>'Monthly Report'!$D$20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'Monthly Report'!$A$21:$A$25</c:f>
            </c:strRef>
          </c:cat>
          <c:val>
            <c:numRef>
              <c:f>'Monthly Report'!$D$21:$D$25</c:f>
              <c:numCache/>
            </c:numRef>
          </c:val>
        </c:ser>
        <c:axId val="576936949"/>
        <c:axId val="229193257"/>
      </c:barChart>
      <c:catAx>
        <c:axId val="5769369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Week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9193257"/>
      </c:catAx>
      <c:valAx>
        <c:axId val="2291932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Inquiries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693694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WEEKLY TIME ANALYSIS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'Monthly Report'!$I$9:$I$10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'Monthly Report'!$H$11:$H$17</c:f>
            </c:strRef>
          </c:cat>
          <c:val>
            <c:numRef>
              <c:f>'Monthly Report'!$I$11:$I$17</c:f>
              <c:numCache/>
            </c:numRef>
          </c:val>
        </c:ser>
        <c:axId val="1273140494"/>
        <c:axId val="761407802"/>
      </c:barChart>
      <c:catAx>
        <c:axId val="12731404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1407802"/>
      </c:catAx>
      <c:valAx>
        <c:axId val="7614078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 # of ppl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314049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114300</xdr:colOff>
      <xdr:row>4</xdr:row>
      <xdr:rowOff>28575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114300</xdr:colOff>
      <xdr:row>23</xdr:row>
      <xdr:rowOff>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16</xdr:col>
      <xdr:colOff>161925</xdr:colOff>
      <xdr:row>16</xdr:row>
      <xdr:rowOff>171450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51.63"/>
    <col customWidth="1" min="2" max="2" width="7.0"/>
    <col customWidth="1" min="3" max="3" width="6.88"/>
    <col customWidth="1" min="4" max="4" width="7.25"/>
    <col customWidth="1" min="5" max="5" width="9.5"/>
    <col customWidth="1" min="6" max="6" width="7.0"/>
    <col customWidth="1" min="7" max="7" width="6.88"/>
    <col customWidth="1" min="8" max="8" width="7.25"/>
    <col customWidth="1" min="9" max="9" width="9.5"/>
    <col customWidth="1" min="10" max="10" width="7.0"/>
    <col customWidth="1" min="11" max="11" width="6.88"/>
    <col customWidth="1" min="12" max="12" width="7.25"/>
    <col customWidth="1" min="13" max="13" width="9.5"/>
    <col customWidth="1" min="14" max="14" width="7.0"/>
    <col customWidth="1" min="15" max="15" width="6.88"/>
    <col customWidth="1" min="16" max="16" width="7.25"/>
    <col customWidth="1" min="17" max="17" width="9.5"/>
    <col customWidth="1" min="18" max="18" width="7.0"/>
    <col customWidth="1" min="19" max="19" width="6.88"/>
    <col customWidth="1" min="20" max="20" width="7.25"/>
    <col customWidth="1" min="21" max="21" width="9.5"/>
    <col customWidth="1" min="22" max="22" width="16.63"/>
    <col customWidth="1" min="23" max="23" width="21.38"/>
    <col customWidth="1" min="25" max="25" width="22.88"/>
    <col customWidth="1" min="26" max="26" width="24.5"/>
    <col customWidth="1" min="27" max="27" width="13.63"/>
    <col customWidth="1" min="33" max="33" width="15.38"/>
    <col customWidth="1" min="34" max="34" width="37.38"/>
  </cols>
  <sheetData>
    <row r="1">
      <c r="A1" s="1"/>
      <c r="B1" s="2"/>
      <c r="C1" s="3"/>
      <c r="D1" s="3"/>
      <c r="E1" s="4"/>
      <c r="F1" s="2"/>
      <c r="G1" s="3"/>
      <c r="H1" s="3"/>
      <c r="I1" s="4"/>
      <c r="J1" s="2"/>
      <c r="K1" s="3"/>
      <c r="L1" s="3"/>
      <c r="M1" s="4"/>
      <c r="N1" s="5">
        <v>45323.0</v>
      </c>
      <c r="O1" s="3"/>
      <c r="P1" s="3"/>
      <c r="Q1" s="4"/>
      <c r="R1" s="5">
        <v>45324.0</v>
      </c>
      <c r="S1" s="3"/>
      <c r="T1" s="3"/>
      <c r="U1" s="4"/>
    </row>
    <row r="2">
      <c r="A2" s="1"/>
      <c r="B2" s="6"/>
      <c r="C2" s="7"/>
      <c r="D2" s="7"/>
      <c r="E2" s="8"/>
      <c r="F2" s="6"/>
      <c r="G2" s="7"/>
      <c r="H2" s="7"/>
      <c r="I2" s="8"/>
      <c r="J2" s="6"/>
      <c r="K2" s="7"/>
      <c r="L2" s="7"/>
      <c r="M2" s="8"/>
      <c r="N2" s="6"/>
      <c r="O2" s="7"/>
      <c r="P2" s="7"/>
      <c r="Q2" s="8"/>
      <c r="R2" s="6"/>
      <c r="S2" s="7"/>
      <c r="T2" s="7"/>
      <c r="U2" s="8"/>
    </row>
    <row r="3" ht="18.0" customHeight="1">
      <c r="A3" s="9" t="s">
        <v>0</v>
      </c>
      <c r="B3" s="10" t="s">
        <v>1</v>
      </c>
      <c r="C3" s="11" t="s">
        <v>2</v>
      </c>
      <c r="D3" s="12" t="s">
        <v>3</v>
      </c>
      <c r="E3" s="13" t="s">
        <v>4</v>
      </c>
      <c r="F3" s="10" t="s">
        <v>1</v>
      </c>
      <c r="G3" s="11" t="s">
        <v>2</v>
      </c>
      <c r="H3" s="12" t="s">
        <v>3</v>
      </c>
      <c r="I3" s="13" t="s">
        <v>4</v>
      </c>
      <c r="J3" s="10" t="s">
        <v>1</v>
      </c>
      <c r="K3" s="11" t="s">
        <v>2</v>
      </c>
      <c r="L3" s="12" t="s">
        <v>3</v>
      </c>
      <c r="M3" s="13" t="s">
        <v>4</v>
      </c>
      <c r="N3" s="10" t="s">
        <v>1</v>
      </c>
      <c r="O3" s="11" t="s">
        <v>2</v>
      </c>
      <c r="P3" s="12" t="s">
        <v>3</v>
      </c>
      <c r="Q3" s="13" t="s">
        <v>4</v>
      </c>
      <c r="R3" s="10" t="s">
        <v>1</v>
      </c>
      <c r="S3" s="11" t="s">
        <v>2</v>
      </c>
      <c r="T3" s="12" t="s">
        <v>3</v>
      </c>
      <c r="U3" s="13" t="s">
        <v>4</v>
      </c>
      <c r="V3" s="14" t="s">
        <v>5</v>
      </c>
      <c r="W3" s="15" t="s">
        <v>6</v>
      </c>
    </row>
    <row r="4">
      <c r="A4" s="16" t="s">
        <v>7</v>
      </c>
      <c r="B4" s="17"/>
      <c r="C4" s="18"/>
      <c r="D4" s="18"/>
      <c r="E4" s="19">
        <f t="shared" ref="E4:E84" si="1">sum(B4:D4)</f>
        <v>0</v>
      </c>
      <c r="F4" s="20"/>
      <c r="G4" s="18"/>
      <c r="H4" s="18"/>
      <c r="I4" s="19">
        <f t="shared" ref="I4:I84" si="2">sum(F4:H4)</f>
        <v>0</v>
      </c>
      <c r="J4" s="20"/>
      <c r="K4" s="18"/>
      <c r="L4" s="18"/>
      <c r="M4" s="19">
        <f t="shared" ref="M4:M84" si="3">sum(J4:L4)</f>
        <v>0</v>
      </c>
      <c r="N4" s="21"/>
      <c r="O4" s="22"/>
      <c r="P4" s="22"/>
      <c r="Q4" s="23">
        <f t="shared" ref="Q4:Q84" si="4">sum(N4:P4)</f>
        <v>0</v>
      </c>
      <c r="R4" s="21"/>
      <c r="S4" s="22"/>
      <c r="T4" s="22"/>
      <c r="U4" s="23">
        <f t="shared" ref="U4:U84" si="5">sum(R4:T4)</f>
        <v>0</v>
      </c>
      <c r="V4" s="24">
        <f t="shared" ref="V4:V84" si="6">sum(E4,I4,M4,Q4,U4)</f>
        <v>0</v>
      </c>
      <c r="W4" s="25" t="s">
        <v>8</v>
      </c>
    </row>
    <row r="5">
      <c r="A5" s="26" t="s">
        <v>9</v>
      </c>
      <c r="B5" s="27"/>
      <c r="C5" s="28"/>
      <c r="D5" s="28"/>
      <c r="E5" s="29">
        <f t="shared" si="1"/>
        <v>0</v>
      </c>
      <c r="F5" s="27"/>
      <c r="G5" s="28"/>
      <c r="H5" s="28"/>
      <c r="I5" s="29">
        <f t="shared" si="2"/>
        <v>0</v>
      </c>
      <c r="J5" s="27"/>
      <c r="K5" s="28"/>
      <c r="L5" s="28"/>
      <c r="M5" s="29">
        <f t="shared" si="3"/>
        <v>0</v>
      </c>
      <c r="N5" s="30"/>
      <c r="O5" s="31"/>
      <c r="P5" s="31"/>
      <c r="Q5" s="23">
        <f t="shared" si="4"/>
        <v>0</v>
      </c>
      <c r="R5" s="30"/>
      <c r="S5" s="31"/>
      <c r="T5" s="31"/>
      <c r="U5" s="23">
        <f t="shared" si="5"/>
        <v>0</v>
      </c>
      <c r="V5" s="24">
        <f t="shared" si="6"/>
        <v>0</v>
      </c>
      <c r="W5" s="25" t="s">
        <v>8</v>
      </c>
      <c r="Y5" s="32" t="s">
        <v>10</v>
      </c>
      <c r="Z5" s="33" t="s">
        <v>11</v>
      </c>
      <c r="AB5" s="34"/>
      <c r="AG5" s="35" t="s">
        <v>12</v>
      </c>
      <c r="AH5" s="36"/>
      <c r="AI5" s="37"/>
    </row>
    <row r="6">
      <c r="A6" s="26" t="s">
        <v>13</v>
      </c>
      <c r="B6" s="27"/>
      <c r="C6" s="28"/>
      <c r="D6" s="28"/>
      <c r="E6" s="29">
        <f t="shared" si="1"/>
        <v>0</v>
      </c>
      <c r="F6" s="27"/>
      <c r="G6" s="28"/>
      <c r="H6" s="28"/>
      <c r="I6" s="29">
        <f t="shared" si="2"/>
        <v>0</v>
      </c>
      <c r="J6" s="27"/>
      <c r="K6" s="28"/>
      <c r="L6" s="28"/>
      <c r="M6" s="29">
        <f t="shared" si="3"/>
        <v>0</v>
      </c>
      <c r="N6" s="30"/>
      <c r="O6" s="31"/>
      <c r="P6" s="31"/>
      <c r="Q6" s="23">
        <f t="shared" si="4"/>
        <v>0</v>
      </c>
      <c r="R6" s="38">
        <v>1.0</v>
      </c>
      <c r="S6" s="31"/>
      <c r="T6" s="31"/>
      <c r="U6" s="23">
        <f t="shared" si="5"/>
        <v>1</v>
      </c>
      <c r="V6" s="24">
        <f t="shared" si="6"/>
        <v>1</v>
      </c>
      <c r="W6" s="25" t="s">
        <v>8</v>
      </c>
      <c r="Y6" s="39" t="s">
        <v>14</v>
      </c>
      <c r="Z6" s="40">
        <f>SUMIF(W:W,"Academics",V:V)</f>
        <v>22</v>
      </c>
      <c r="AG6" s="41"/>
      <c r="AH6" s="42" t="s">
        <v>15</v>
      </c>
      <c r="AI6" s="42" t="s">
        <v>16</v>
      </c>
    </row>
    <row r="7">
      <c r="A7" s="26" t="s">
        <v>17</v>
      </c>
      <c r="B7" s="27"/>
      <c r="C7" s="28"/>
      <c r="D7" s="28"/>
      <c r="E7" s="29">
        <f t="shared" si="1"/>
        <v>0</v>
      </c>
      <c r="F7" s="27"/>
      <c r="G7" s="28"/>
      <c r="H7" s="28"/>
      <c r="I7" s="29">
        <f t="shared" si="2"/>
        <v>0</v>
      </c>
      <c r="J7" s="27"/>
      <c r="K7" s="28"/>
      <c r="L7" s="28"/>
      <c r="M7" s="29">
        <f t="shared" si="3"/>
        <v>0</v>
      </c>
      <c r="N7" s="30"/>
      <c r="O7" s="31"/>
      <c r="P7" s="31"/>
      <c r="Q7" s="23">
        <f t="shared" si="4"/>
        <v>0</v>
      </c>
      <c r="R7" s="30"/>
      <c r="S7" s="31"/>
      <c r="T7" s="31"/>
      <c r="U7" s="23">
        <f t="shared" si="5"/>
        <v>0</v>
      </c>
      <c r="V7" s="24">
        <f t="shared" si="6"/>
        <v>0</v>
      </c>
      <c r="W7" s="25" t="s">
        <v>8</v>
      </c>
      <c r="Y7" s="43" t="s">
        <v>18</v>
      </c>
      <c r="Z7" s="44">
        <f>SUMIF(W:W,"Referral",V:V)</f>
        <v>7</v>
      </c>
      <c r="AG7" s="45">
        <v>1.0</v>
      </c>
      <c r="AH7" s="46" t="str">
        <f t="array" ref="AH7">IFERROR(TEXTJOIN(", ", TRUE, IF($V$4:$V$84=AI7, $A$4:$A$84, "")), "")
</f>
        <v>Course Enrollment </v>
      </c>
      <c r="AI7" s="47">
        <f>LARGE($V$4:$V$84,1)</f>
        <v>8</v>
      </c>
    </row>
    <row r="8">
      <c r="A8" s="26" t="s">
        <v>19</v>
      </c>
      <c r="B8" s="27"/>
      <c r="C8" s="28"/>
      <c r="D8" s="28"/>
      <c r="E8" s="29">
        <f t="shared" si="1"/>
        <v>0</v>
      </c>
      <c r="F8" s="27"/>
      <c r="G8" s="28"/>
      <c r="H8" s="28"/>
      <c r="I8" s="29">
        <f t="shared" si="2"/>
        <v>0</v>
      </c>
      <c r="J8" s="27"/>
      <c r="K8" s="28"/>
      <c r="L8" s="28"/>
      <c r="M8" s="29">
        <f t="shared" si="3"/>
        <v>0</v>
      </c>
      <c r="N8" s="30"/>
      <c r="O8" s="31"/>
      <c r="P8" s="31"/>
      <c r="Q8" s="23">
        <f t="shared" si="4"/>
        <v>0</v>
      </c>
      <c r="R8" s="30"/>
      <c r="S8" s="31"/>
      <c r="T8" s="31"/>
      <c r="U8" s="23">
        <f t="shared" si="5"/>
        <v>0</v>
      </c>
      <c r="V8" s="24">
        <f t="shared" si="6"/>
        <v>0</v>
      </c>
      <c r="W8" s="25" t="s">
        <v>8</v>
      </c>
      <c r="Y8" s="43" t="s">
        <v>20</v>
      </c>
      <c r="Z8" s="44">
        <f>SUMIF(W:W,"Financial",V:V)</f>
        <v>2</v>
      </c>
      <c r="AG8" s="45">
        <v>2.0</v>
      </c>
      <c r="AH8" s="46" t="str">
        <f t="array" ref="AH8">IFERROR(TEXTJOIN(", ", TRUE, IF($V$4:$V$84=AI8, $A$4:$A$84, "")), "")
</f>
        <v>Chang School</v>
      </c>
      <c r="AI8" s="46">
        <f t="array" ref="AI8">LARGE(IF($V$4:$V$84&lt;&gt;MAX($AI$7:AI7),$V$4:$V$84),1)</f>
        <v>4</v>
      </c>
    </row>
    <row r="9">
      <c r="A9" s="26" t="s">
        <v>21</v>
      </c>
      <c r="B9" s="27"/>
      <c r="C9" s="28"/>
      <c r="D9" s="28"/>
      <c r="E9" s="29">
        <f t="shared" si="1"/>
        <v>0</v>
      </c>
      <c r="F9" s="27"/>
      <c r="G9" s="28"/>
      <c r="H9" s="28"/>
      <c r="I9" s="29">
        <f t="shared" si="2"/>
        <v>0</v>
      </c>
      <c r="J9" s="27"/>
      <c r="K9" s="28"/>
      <c r="L9" s="28"/>
      <c r="M9" s="29">
        <f t="shared" si="3"/>
        <v>0</v>
      </c>
      <c r="N9" s="30"/>
      <c r="O9" s="31"/>
      <c r="P9" s="31"/>
      <c r="Q9" s="23">
        <f t="shared" si="4"/>
        <v>0</v>
      </c>
      <c r="R9" s="38">
        <v>1.0</v>
      </c>
      <c r="S9" s="31"/>
      <c r="T9" s="31"/>
      <c r="U9" s="23">
        <f t="shared" si="5"/>
        <v>1</v>
      </c>
      <c r="V9" s="24">
        <f t="shared" si="6"/>
        <v>1</v>
      </c>
      <c r="W9" s="25" t="s">
        <v>22</v>
      </c>
      <c r="Y9" s="48" t="s">
        <v>23</v>
      </c>
      <c r="Z9" s="40">
        <f>SUMIF(W:W, "Mental Health and Wellness", V:V)</f>
        <v>0</v>
      </c>
      <c r="AG9" s="45">
        <v>3.0</v>
      </c>
      <c r="AH9" s="46" t="str">
        <f t="array" ref="AH9">IFERROR(TEXTJOIN(", ", TRUE, IF($V$4:$V$84=AI9, $A$4:$A$84, "")), "")
</f>
        <v>Engineering Program Transition Courses</v>
      </c>
      <c r="AI9" s="46">
        <f t="array" ref="AI9">LARGE(IF($V$4:$V$84&lt;&gt;MAX($AI$7:AI7),IF($V$4:$V$84&lt;&gt;MAX($AI$8:AI8),$V$4:$V$84)),1)</f>
        <v>3</v>
      </c>
    </row>
    <row r="10">
      <c r="A10" s="26" t="s">
        <v>24</v>
      </c>
      <c r="B10" s="27"/>
      <c r="C10" s="28"/>
      <c r="D10" s="28"/>
      <c r="E10" s="29">
        <f t="shared" si="1"/>
        <v>0</v>
      </c>
      <c r="F10" s="27"/>
      <c r="G10" s="28"/>
      <c r="H10" s="28"/>
      <c r="I10" s="29">
        <f t="shared" si="2"/>
        <v>0</v>
      </c>
      <c r="J10" s="27"/>
      <c r="K10" s="28"/>
      <c r="L10" s="28"/>
      <c r="M10" s="29">
        <f t="shared" si="3"/>
        <v>0</v>
      </c>
      <c r="N10" s="30"/>
      <c r="O10" s="31"/>
      <c r="P10" s="31"/>
      <c r="Q10" s="23">
        <f t="shared" si="4"/>
        <v>0</v>
      </c>
      <c r="R10" s="30"/>
      <c r="S10" s="31"/>
      <c r="T10" s="31"/>
      <c r="U10" s="23">
        <f t="shared" si="5"/>
        <v>0</v>
      </c>
      <c r="V10" s="24">
        <f t="shared" si="6"/>
        <v>0</v>
      </c>
      <c r="W10" s="25" t="s">
        <v>8</v>
      </c>
      <c r="Y10" s="48" t="s">
        <v>25</v>
      </c>
      <c r="Z10" s="40">
        <f>SUMIF(W:W, "Other", V:V)</f>
        <v>5</v>
      </c>
      <c r="AG10" s="45">
        <v>4.0</v>
      </c>
      <c r="AH10" s="46" t="str">
        <f t="array" ref="AH10">IFERROR(TEXTJOIN(", ", TRUE, IF($V$4:$V$84=AI10, $A$4:$A$84, "")), "")
</f>
        <v>Directions, Supplies Request, e.g. stapler, scissor, etc, Wait List</v>
      </c>
      <c r="AI10" s="46">
        <f t="array" ref="AI10">LARGE(IF($V$4:$V$84&lt;&gt;MAX($AI$7:AI7), IF($V$4:$V$84&lt;&gt;MAX($AI$8:AI8), IF($V$4:$V$84&lt;&gt;MAX($AI$9:AI9), $V$4:$V$84))), 1)</f>
        <v>2</v>
      </c>
    </row>
    <row r="11">
      <c r="A11" s="26" t="s">
        <v>26</v>
      </c>
      <c r="B11" s="27"/>
      <c r="C11" s="28"/>
      <c r="D11" s="28"/>
      <c r="E11" s="29">
        <f t="shared" si="1"/>
        <v>0</v>
      </c>
      <c r="F11" s="27"/>
      <c r="G11" s="28"/>
      <c r="H11" s="28"/>
      <c r="I11" s="29">
        <f t="shared" si="2"/>
        <v>0</v>
      </c>
      <c r="J11" s="27"/>
      <c r="K11" s="28"/>
      <c r="L11" s="28"/>
      <c r="M11" s="29">
        <f t="shared" si="3"/>
        <v>0</v>
      </c>
      <c r="N11" s="30"/>
      <c r="O11" s="31"/>
      <c r="P11" s="31"/>
      <c r="Q11" s="23">
        <f t="shared" si="4"/>
        <v>0</v>
      </c>
      <c r="R11" s="30"/>
      <c r="S11" s="31"/>
      <c r="T11" s="31"/>
      <c r="U11" s="23">
        <f t="shared" si="5"/>
        <v>0</v>
      </c>
      <c r="V11" s="24">
        <f t="shared" si="6"/>
        <v>0</v>
      </c>
      <c r="W11" s="25" t="s">
        <v>22</v>
      </c>
      <c r="Y11" s="49"/>
      <c r="Z11" s="50"/>
      <c r="AG11" s="45">
        <v>5.0</v>
      </c>
      <c r="AH11" s="46" t="str">
        <f t="array" ref="AH11">IFERROR(TEXTJOIN(", ", TRUE, IF($V$4:$V$84=AI11, $A$4:$A$84, "")), "")
</f>
        <v>Academic Standing, Admissions, CEN100, Exams/Mid-Terms, Fees, OSAP, OSMS/OSEIE, Other, Plan Change, Probation Contract, Probationary Standing, Required to Withdraw (RTW), Retroactive Course Drop, Service Hub, Upper Year Students</v>
      </c>
      <c r="AI11" s="46">
        <f t="array" ref="AI11">LARGE(IF($V$4:$V$84&lt;&gt;MAX($AI$7:AI7), IF($V$4:$V$84&lt;&gt;MAX($AI$8:AI8), IF($V$4:$V$84&lt;&gt;MAX($AI$9:AI9), IF($V$4:$V$84&lt;&gt;MAX($AI$10:AI10), $V$4:$V$84)))), 1)</f>
        <v>1</v>
      </c>
    </row>
    <row r="12">
      <c r="A12" s="26" t="s">
        <v>27</v>
      </c>
      <c r="B12" s="27"/>
      <c r="C12" s="28"/>
      <c r="D12" s="28"/>
      <c r="E12" s="29">
        <f t="shared" si="1"/>
        <v>0</v>
      </c>
      <c r="F12" s="27"/>
      <c r="G12" s="28"/>
      <c r="H12" s="28"/>
      <c r="I12" s="29">
        <f t="shared" si="2"/>
        <v>0</v>
      </c>
      <c r="J12" s="27"/>
      <c r="K12" s="28"/>
      <c r="L12" s="28"/>
      <c r="M12" s="29">
        <f t="shared" si="3"/>
        <v>0</v>
      </c>
      <c r="N12" s="30"/>
      <c r="O12" s="31"/>
      <c r="P12" s="31"/>
      <c r="Q12" s="23">
        <f t="shared" si="4"/>
        <v>0</v>
      </c>
      <c r="R12" s="30"/>
      <c r="S12" s="31"/>
      <c r="T12" s="31"/>
      <c r="U12" s="23">
        <f t="shared" si="5"/>
        <v>0</v>
      </c>
      <c r="V12" s="24">
        <f t="shared" si="6"/>
        <v>0</v>
      </c>
      <c r="W12" s="25" t="s">
        <v>22</v>
      </c>
      <c r="Y12" s="25"/>
      <c r="Z12" s="50"/>
    </row>
    <row r="13">
      <c r="A13" s="26" t="s">
        <v>28</v>
      </c>
      <c r="B13" s="27"/>
      <c r="C13" s="28"/>
      <c r="D13" s="28"/>
      <c r="E13" s="29">
        <f t="shared" si="1"/>
        <v>0</v>
      </c>
      <c r="F13" s="27"/>
      <c r="G13" s="28"/>
      <c r="H13" s="28"/>
      <c r="I13" s="29">
        <f t="shared" si="2"/>
        <v>0</v>
      </c>
      <c r="J13" s="27"/>
      <c r="K13" s="28"/>
      <c r="L13" s="28"/>
      <c r="M13" s="29">
        <f t="shared" si="3"/>
        <v>0</v>
      </c>
      <c r="N13" s="30"/>
      <c r="O13" s="31"/>
      <c r="P13" s="31"/>
      <c r="Q13" s="23">
        <f t="shared" si="4"/>
        <v>0</v>
      </c>
      <c r="R13" s="30"/>
      <c r="S13" s="31"/>
      <c r="T13" s="31"/>
      <c r="U13" s="23">
        <f t="shared" si="5"/>
        <v>0</v>
      </c>
      <c r="V13" s="24">
        <f t="shared" si="6"/>
        <v>0</v>
      </c>
      <c r="W13" s="25" t="s">
        <v>22</v>
      </c>
      <c r="Y13" s="51" t="s">
        <v>29</v>
      </c>
      <c r="Z13" s="52"/>
      <c r="AA13" s="52"/>
      <c r="AB13" s="52"/>
      <c r="AC13" s="52"/>
      <c r="AD13" s="52"/>
      <c r="AE13" s="53"/>
    </row>
    <row r="14">
      <c r="A14" s="26" t="s">
        <v>30</v>
      </c>
      <c r="B14" s="27"/>
      <c r="C14" s="28"/>
      <c r="D14" s="28"/>
      <c r="E14" s="29">
        <f t="shared" si="1"/>
        <v>0</v>
      </c>
      <c r="F14" s="27"/>
      <c r="G14" s="28"/>
      <c r="H14" s="28"/>
      <c r="I14" s="29">
        <f t="shared" si="2"/>
        <v>0</v>
      </c>
      <c r="J14" s="27"/>
      <c r="K14" s="28"/>
      <c r="L14" s="28"/>
      <c r="M14" s="29">
        <f t="shared" si="3"/>
        <v>0</v>
      </c>
      <c r="N14" s="30"/>
      <c r="O14" s="31"/>
      <c r="P14" s="31"/>
      <c r="Q14" s="23">
        <f t="shared" si="4"/>
        <v>0</v>
      </c>
      <c r="R14" s="30"/>
      <c r="S14" s="31"/>
      <c r="T14" s="31"/>
      <c r="U14" s="23">
        <f t="shared" si="5"/>
        <v>0</v>
      </c>
      <c r="V14" s="24">
        <f t="shared" si="6"/>
        <v>0</v>
      </c>
      <c r="W14" s="25" t="s">
        <v>22</v>
      </c>
      <c r="X14" s="49"/>
      <c r="Y14" s="54"/>
      <c r="Z14" s="55" t="s">
        <v>31</v>
      </c>
      <c r="AA14" s="55" t="s">
        <v>32</v>
      </c>
      <c r="AB14" s="56" t="s">
        <v>33</v>
      </c>
      <c r="AC14" s="55" t="s">
        <v>34</v>
      </c>
      <c r="AD14" s="57" t="s">
        <v>35</v>
      </c>
      <c r="AE14" s="58" t="s">
        <v>36</v>
      </c>
    </row>
    <row r="15">
      <c r="A15" s="26" t="s">
        <v>37</v>
      </c>
      <c r="B15" s="27"/>
      <c r="C15" s="28"/>
      <c r="D15" s="28"/>
      <c r="E15" s="29">
        <f t="shared" si="1"/>
        <v>0</v>
      </c>
      <c r="F15" s="27"/>
      <c r="G15" s="28"/>
      <c r="H15" s="28"/>
      <c r="I15" s="29">
        <f t="shared" si="2"/>
        <v>0</v>
      </c>
      <c r="J15" s="27"/>
      <c r="K15" s="28"/>
      <c r="L15" s="28"/>
      <c r="M15" s="29">
        <f t="shared" si="3"/>
        <v>0</v>
      </c>
      <c r="N15" s="30"/>
      <c r="O15" s="31"/>
      <c r="P15" s="31"/>
      <c r="Q15" s="23">
        <f t="shared" si="4"/>
        <v>0</v>
      </c>
      <c r="R15" s="30"/>
      <c r="S15" s="31"/>
      <c r="T15" s="31"/>
      <c r="U15" s="23">
        <f t="shared" si="5"/>
        <v>0</v>
      </c>
      <c r="V15" s="24">
        <f t="shared" si="6"/>
        <v>0</v>
      </c>
      <c r="W15" s="25" t="s">
        <v>22</v>
      </c>
      <c r="X15" s="25"/>
      <c r="Y15" s="59" t="s">
        <v>1</v>
      </c>
      <c r="Z15" s="60">
        <f>B85</f>
        <v>0</v>
      </c>
      <c r="AA15" s="60">
        <f>F85</f>
        <v>0</v>
      </c>
      <c r="AB15" s="60">
        <f>J85</f>
        <v>0</v>
      </c>
      <c r="AC15" s="60">
        <f>N85</f>
        <v>5</v>
      </c>
      <c r="AD15" s="60">
        <f>R85</f>
        <v>6</v>
      </c>
      <c r="AE15" s="61">
        <f t="shared" ref="AE15:AE18" si="7">sum(Z15:AD15)</f>
        <v>11</v>
      </c>
    </row>
    <row r="16">
      <c r="A16" s="26" t="s">
        <v>38</v>
      </c>
      <c r="B16" s="27"/>
      <c r="C16" s="28"/>
      <c r="D16" s="28"/>
      <c r="E16" s="29">
        <f t="shared" si="1"/>
        <v>0</v>
      </c>
      <c r="F16" s="27"/>
      <c r="G16" s="28"/>
      <c r="H16" s="28"/>
      <c r="I16" s="29">
        <f t="shared" si="2"/>
        <v>0</v>
      </c>
      <c r="J16" s="27"/>
      <c r="K16" s="28"/>
      <c r="L16" s="28"/>
      <c r="M16" s="29">
        <f t="shared" si="3"/>
        <v>0</v>
      </c>
      <c r="N16" s="38">
        <v>1.0</v>
      </c>
      <c r="O16" s="31"/>
      <c r="P16" s="31"/>
      <c r="Q16" s="23">
        <f t="shared" si="4"/>
        <v>1</v>
      </c>
      <c r="R16" s="30"/>
      <c r="S16" s="31"/>
      <c r="T16" s="31"/>
      <c r="U16" s="23">
        <f t="shared" si="5"/>
        <v>0</v>
      </c>
      <c r="V16" s="24">
        <f t="shared" si="6"/>
        <v>1</v>
      </c>
      <c r="W16" s="25" t="s">
        <v>8</v>
      </c>
      <c r="X16" s="49"/>
      <c r="Y16" s="59" t="s">
        <v>39</v>
      </c>
      <c r="Z16" s="60">
        <f>C85</f>
        <v>0</v>
      </c>
      <c r="AA16" s="60">
        <f>G85</f>
        <v>0</v>
      </c>
      <c r="AB16" s="60">
        <f>K85</f>
        <v>0</v>
      </c>
      <c r="AC16" s="62">
        <f>O85</f>
        <v>0</v>
      </c>
      <c r="AD16" s="62">
        <f>S85</f>
        <v>0</v>
      </c>
      <c r="AE16" s="61">
        <f t="shared" si="7"/>
        <v>0</v>
      </c>
    </row>
    <row r="17">
      <c r="A17" s="26" t="s">
        <v>40</v>
      </c>
      <c r="B17" s="63"/>
      <c r="C17" s="28"/>
      <c r="D17" s="28"/>
      <c r="E17" s="29">
        <f t="shared" si="1"/>
        <v>0</v>
      </c>
      <c r="F17" s="27"/>
      <c r="G17" s="28"/>
      <c r="H17" s="28"/>
      <c r="I17" s="29">
        <f t="shared" si="2"/>
        <v>0</v>
      </c>
      <c r="J17" s="27"/>
      <c r="K17" s="28"/>
      <c r="L17" s="28"/>
      <c r="M17" s="29">
        <f t="shared" si="3"/>
        <v>0</v>
      </c>
      <c r="N17" s="30"/>
      <c r="O17" s="31"/>
      <c r="P17" s="64">
        <v>2.0</v>
      </c>
      <c r="Q17" s="23">
        <f t="shared" si="4"/>
        <v>2</v>
      </c>
      <c r="R17" s="30"/>
      <c r="S17" s="31"/>
      <c r="T17" s="64">
        <v>2.0</v>
      </c>
      <c r="U17" s="23">
        <f t="shared" si="5"/>
        <v>2</v>
      </c>
      <c r="V17" s="24">
        <f t="shared" si="6"/>
        <v>4</v>
      </c>
      <c r="W17" s="25" t="s">
        <v>22</v>
      </c>
      <c r="X17" s="49"/>
      <c r="Y17" s="59" t="s">
        <v>41</v>
      </c>
      <c r="Z17" s="60" t="str">
        <f>B86</f>
        <v/>
      </c>
      <c r="AA17" s="65" t="str">
        <f>F86</f>
        <v/>
      </c>
      <c r="AB17" s="60" t="str">
        <f>J86</f>
        <v/>
      </c>
      <c r="AC17" s="62">
        <f>N86</f>
        <v>11</v>
      </c>
      <c r="AD17" s="62">
        <f>R86</f>
        <v>14</v>
      </c>
      <c r="AE17" s="66">
        <f t="shared" si="7"/>
        <v>25</v>
      </c>
    </row>
    <row r="18">
      <c r="A18" s="26" t="s">
        <v>42</v>
      </c>
      <c r="B18" s="27"/>
      <c r="C18" s="28"/>
      <c r="D18" s="28"/>
      <c r="E18" s="29">
        <f t="shared" si="1"/>
        <v>0</v>
      </c>
      <c r="F18" s="27"/>
      <c r="G18" s="28"/>
      <c r="H18" s="28"/>
      <c r="I18" s="29">
        <f t="shared" si="2"/>
        <v>0</v>
      </c>
      <c r="J18" s="27"/>
      <c r="K18" s="28"/>
      <c r="L18" s="28"/>
      <c r="M18" s="29">
        <f t="shared" si="3"/>
        <v>0</v>
      </c>
      <c r="N18" s="30"/>
      <c r="O18" s="31"/>
      <c r="P18" s="31"/>
      <c r="Q18" s="23">
        <f t="shared" si="4"/>
        <v>0</v>
      </c>
      <c r="R18" s="30"/>
      <c r="S18" s="31"/>
      <c r="T18" s="31"/>
      <c r="U18" s="23">
        <f t="shared" si="5"/>
        <v>0</v>
      </c>
      <c r="V18" s="24">
        <f t="shared" si="6"/>
        <v>0</v>
      </c>
      <c r="W18" s="25" t="s">
        <v>22</v>
      </c>
      <c r="X18" s="49"/>
      <c r="Y18" s="67" t="s">
        <v>43</v>
      </c>
      <c r="Z18" s="68">
        <f t="shared" ref="Z18:AD18" si="8">sum(Z15:Z17)</f>
        <v>0</v>
      </c>
      <c r="AA18" s="68">
        <f t="shared" si="8"/>
        <v>0</v>
      </c>
      <c r="AB18" s="68">
        <f t="shared" si="8"/>
        <v>0</v>
      </c>
      <c r="AC18" s="68">
        <f t="shared" si="8"/>
        <v>16</v>
      </c>
      <c r="AD18" s="69">
        <f t="shared" si="8"/>
        <v>20</v>
      </c>
      <c r="AE18" s="68">
        <f t="shared" si="7"/>
        <v>36</v>
      </c>
    </row>
    <row r="19">
      <c r="A19" s="26" t="s">
        <v>44</v>
      </c>
      <c r="B19" s="27"/>
      <c r="C19" s="28"/>
      <c r="D19" s="28"/>
      <c r="E19" s="29">
        <f t="shared" si="1"/>
        <v>0</v>
      </c>
      <c r="F19" s="27"/>
      <c r="G19" s="28"/>
      <c r="H19" s="28"/>
      <c r="I19" s="29">
        <f t="shared" si="2"/>
        <v>0</v>
      </c>
      <c r="J19" s="27"/>
      <c r="K19" s="28"/>
      <c r="L19" s="28"/>
      <c r="M19" s="29">
        <f t="shared" si="3"/>
        <v>0</v>
      </c>
      <c r="N19" s="30"/>
      <c r="O19" s="31"/>
      <c r="P19" s="31"/>
      <c r="Q19" s="23">
        <f t="shared" si="4"/>
        <v>0</v>
      </c>
      <c r="R19" s="30"/>
      <c r="S19" s="31"/>
      <c r="T19" s="31"/>
      <c r="U19" s="23">
        <f t="shared" si="5"/>
        <v>0</v>
      </c>
      <c r="V19" s="24">
        <f t="shared" si="6"/>
        <v>0</v>
      </c>
      <c r="W19" s="25" t="s">
        <v>22</v>
      </c>
      <c r="X19" s="25"/>
      <c r="Y19" s="49"/>
      <c r="Z19" s="49"/>
    </row>
    <row r="20">
      <c r="A20" s="70" t="s">
        <v>45</v>
      </c>
      <c r="B20" s="27"/>
      <c r="C20" s="28"/>
      <c r="D20" s="28"/>
      <c r="E20" s="29">
        <f t="shared" si="1"/>
        <v>0</v>
      </c>
      <c r="F20" s="27"/>
      <c r="G20" s="28"/>
      <c r="H20" s="28"/>
      <c r="I20" s="29">
        <f t="shared" si="2"/>
        <v>0</v>
      </c>
      <c r="J20" s="27"/>
      <c r="K20" s="28"/>
      <c r="L20" s="28"/>
      <c r="M20" s="29">
        <f t="shared" si="3"/>
        <v>0</v>
      </c>
      <c r="N20" s="30"/>
      <c r="O20" s="31"/>
      <c r="P20" s="31"/>
      <c r="Q20" s="23">
        <f t="shared" si="4"/>
        <v>0</v>
      </c>
      <c r="R20" s="30"/>
      <c r="S20" s="31"/>
      <c r="T20" s="31"/>
      <c r="U20" s="23">
        <f t="shared" si="5"/>
        <v>0</v>
      </c>
      <c r="V20" s="24">
        <f t="shared" si="6"/>
        <v>0</v>
      </c>
      <c r="W20" s="25" t="s">
        <v>22</v>
      </c>
      <c r="X20" s="49"/>
      <c r="Y20" s="49"/>
      <c r="Z20" s="49"/>
    </row>
    <row r="21">
      <c r="A21" s="26" t="s">
        <v>46</v>
      </c>
      <c r="B21" s="27"/>
      <c r="C21" s="28"/>
      <c r="D21" s="28"/>
      <c r="E21" s="29">
        <f t="shared" si="1"/>
        <v>0</v>
      </c>
      <c r="F21" s="27"/>
      <c r="G21" s="28"/>
      <c r="H21" s="28"/>
      <c r="I21" s="29">
        <f t="shared" si="2"/>
        <v>0</v>
      </c>
      <c r="J21" s="27"/>
      <c r="K21" s="28"/>
      <c r="L21" s="28"/>
      <c r="M21" s="29">
        <f t="shared" si="3"/>
        <v>0</v>
      </c>
      <c r="N21" s="30"/>
      <c r="O21" s="31"/>
      <c r="P21" s="31"/>
      <c r="Q21" s="23">
        <f t="shared" si="4"/>
        <v>0</v>
      </c>
      <c r="R21" s="30"/>
      <c r="S21" s="31"/>
      <c r="T21" s="31"/>
      <c r="U21" s="23">
        <f t="shared" si="5"/>
        <v>0</v>
      </c>
      <c r="V21" s="24">
        <f t="shared" si="6"/>
        <v>0</v>
      </c>
      <c r="W21" s="25" t="s">
        <v>23</v>
      </c>
      <c r="X21" s="25"/>
      <c r="Y21" s="71" t="s">
        <v>47</v>
      </c>
      <c r="Z21" s="72"/>
      <c r="AA21" s="72"/>
      <c r="AB21" s="72"/>
      <c r="AC21" s="73"/>
    </row>
    <row r="22">
      <c r="A22" s="26" t="s">
        <v>48</v>
      </c>
      <c r="B22" s="27"/>
      <c r="C22" s="28"/>
      <c r="D22" s="28"/>
      <c r="E22" s="29">
        <f t="shared" si="1"/>
        <v>0</v>
      </c>
      <c r="F22" s="27"/>
      <c r="G22" s="28"/>
      <c r="H22" s="28"/>
      <c r="I22" s="29">
        <f t="shared" si="2"/>
        <v>0</v>
      </c>
      <c r="J22" s="27"/>
      <c r="K22" s="28"/>
      <c r="L22" s="28"/>
      <c r="M22" s="29">
        <f t="shared" si="3"/>
        <v>0</v>
      </c>
      <c r="N22" s="30"/>
      <c r="O22" s="31"/>
      <c r="P22" s="31"/>
      <c r="Q22" s="23">
        <f t="shared" si="4"/>
        <v>0</v>
      </c>
      <c r="R22" s="30"/>
      <c r="S22" s="31"/>
      <c r="T22" s="31"/>
      <c r="U22" s="23">
        <f t="shared" si="5"/>
        <v>0</v>
      </c>
      <c r="V22" s="24">
        <f t="shared" si="6"/>
        <v>0</v>
      </c>
      <c r="W22" s="25" t="s">
        <v>22</v>
      </c>
      <c r="X22" s="49"/>
      <c r="Y22" s="74" t="s">
        <v>49</v>
      </c>
      <c r="Z22" s="75" t="s">
        <v>50</v>
      </c>
      <c r="AA22" s="75" t="s">
        <v>51</v>
      </c>
      <c r="AB22" s="75" t="s">
        <v>2</v>
      </c>
      <c r="AC22" s="75" t="s">
        <v>41</v>
      </c>
    </row>
    <row r="23">
      <c r="A23" s="70" t="s">
        <v>52</v>
      </c>
      <c r="B23" s="27"/>
      <c r="C23" s="28"/>
      <c r="D23" s="28"/>
      <c r="E23" s="29">
        <f t="shared" si="1"/>
        <v>0</v>
      </c>
      <c r="F23" s="27"/>
      <c r="G23" s="28"/>
      <c r="H23" s="28"/>
      <c r="I23" s="29">
        <f t="shared" si="2"/>
        <v>0</v>
      </c>
      <c r="J23" s="27"/>
      <c r="K23" s="28"/>
      <c r="L23" s="28"/>
      <c r="M23" s="29">
        <f t="shared" si="3"/>
        <v>0</v>
      </c>
      <c r="N23" s="30"/>
      <c r="O23" s="31"/>
      <c r="P23" s="31"/>
      <c r="Q23" s="23">
        <f t="shared" si="4"/>
        <v>0</v>
      </c>
      <c r="R23" s="30"/>
      <c r="S23" s="31"/>
      <c r="T23" s="31"/>
      <c r="U23" s="23">
        <f t="shared" si="5"/>
        <v>0</v>
      </c>
      <c r="V23" s="24">
        <f t="shared" si="6"/>
        <v>0</v>
      </c>
      <c r="W23" s="25" t="s">
        <v>8</v>
      </c>
      <c r="X23" s="49"/>
      <c r="Y23" s="76">
        <v>45179.0</v>
      </c>
      <c r="Z23" s="77"/>
      <c r="AA23" s="77"/>
      <c r="AB23" s="78" t="b">
        <v>0</v>
      </c>
      <c r="AC23" s="79" t="b">
        <v>0</v>
      </c>
    </row>
    <row r="24">
      <c r="A24" s="26" t="s">
        <v>53</v>
      </c>
      <c r="B24" s="27"/>
      <c r="C24" s="28"/>
      <c r="D24" s="28"/>
      <c r="E24" s="29">
        <f t="shared" si="1"/>
        <v>0</v>
      </c>
      <c r="F24" s="27"/>
      <c r="G24" s="28"/>
      <c r="H24" s="28"/>
      <c r="I24" s="29">
        <f t="shared" si="2"/>
        <v>0</v>
      </c>
      <c r="J24" s="27"/>
      <c r="K24" s="28"/>
      <c r="L24" s="28"/>
      <c r="M24" s="29">
        <f t="shared" si="3"/>
        <v>0</v>
      </c>
      <c r="N24" s="30"/>
      <c r="O24" s="31"/>
      <c r="P24" s="64">
        <v>4.0</v>
      </c>
      <c r="Q24" s="23">
        <f t="shared" si="4"/>
        <v>4</v>
      </c>
      <c r="R24" s="38">
        <v>1.0</v>
      </c>
      <c r="S24" s="31"/>
      <c r="T24" s="64">
        <v>3.0</v>
      </c>
      <c r="U24" s="23">
        <f t="shared" si="5"/>
        <v>4</v>
      </c>
      <c r="V24" s="24">
        <f t="shared" si="6"/>
        <v>8</v>
      </c>
      <c r="W24" s="25" t="s">
        <v>8</v>
      </c>
      <c r="X24" s="49"/>
      <c r="Y24" s="76">
        <v>45210.0</v>
      </c>
      <c r="Z24" s="77"/>
      <c r="AA24" s="77"/>
      <c r="AB24" s="80" t="b">
        <v>0</v>
      </c>
      <c r="AC24" s="81" t="b">
        <v>0</v>
      </c>
    </row>
    <row r="25">
      <c r="A25" s="26" t="s">
        <v>54</v>
      </c>
      <c r="B25" s="27"/>
      <c r="C25" s="28"/>
      <c r="D25" s="28"/>
      <c r="E25" s="29">
        <f t="shared" si="1"/>
        <v>0</v>
      </c>
      <c r="F25" s="27"/>
      <c r="G25" s="28"/>
      <c r="H25" s="28"/>
      <c r="I25" s="29">
        <f t="shared" si="2"/>
        <v>0</v>
      </c>
      <c r="J25" s="27"/>
      <c r="K25" s="28"/>
      <c r="L25" s="28"/>
      <c r="M25" s="29">
        <f t="shared" si="3"/>
        <v>0</v>
      </c>
      <c r="N25" s="30"/>
      <c r="O25" s="31"/>
      <c r="P25" s="31"/>
      <c r="Q25" s="23">
        <f t="shared" si="4"/>
        <v>0</v>
      </c>
      <c r="R25" s="30"/>
      <c r="S25" s="31"/>
      <c r="T25" s="31"/>
      <c r="U25" s="23">
        <f t="shared" si="5"/>
        <v>0</v>
      </c>
      <c r="V25" s="24">
        <f t="shared" si="6"/>
        <v>0</v>
      </c>
      <c r="W25" s="25" t="s">
        <v>8</v>
      </c>
      <c r="X25" s="49"/>
      <c r="Y25" s="76">
        <v>45242.0</v>
      </c>
      <c r="Z25" s="77"/>
      <c r="AA25" s="77"/>
      <c r="AB25" s="80" t="b">
        <v>0</v>
      </c>
      <c r="AC25" s="81" t="b">
        <v>0</v>
      </c>
    </row>
    <row r="26">
      <c r="A26" s="26" t="s">
        <v>55</v>
      </c>
      <c r="B26" s="27"/>
      <c r="C26" s="28"/>
      <c r="D26" s="28"/>
      <c r="E26" s="29">
        <f t="shared" si="1"/>
        <v>0</v>
      </c>
      <c r="F26" s="27"/>
      <c r="G26" s="28"/>
      <c r="H26" s="28"/>
      <c r="I26" s="29">
        <f t="shared" si="2"/>
        <v>0</v>
      </c>
      <c r="J26" s="27"/>
      <c r="K26" s="28"/>
      <c r="L26" s="28"/>
      <c r="M26" s="29">
        <f t="shared" si="3"/>
        <v>0</v>
      </c>
      <c r="N26" s="30"/>
      <c r="O26" s="31"/>
      <c r="P26" s="31"/>
      <c r="Q26" s="23">
        <f t="shared" si="4"/>
        <v>0</v>
      </c>
      <c r="R26" s="30"/>
      <c r="S26" s="31"/>
      <c r="T26" s="31"/>
      <c r="U26" s="23">
        <f t="shared" si="5"/>
        <v>0</v>
      </c>
      <c r="V26" s="24">
        <f t="shared" si="6"/>
        <v>0</v>
      </c>
      <c r="W26" s="25" t="s">
        <v>22</v>
      </c>
      <c r="Y26" s="76">
        <v>45261.0</v>
      </c>
      <c r="Z26" s="77"/>
      <c r="AA26" s="77"/>
      <c r="AB26" s="80" t="b">
        <v>0</v>
      </c>
      <c r="AC26" s="81" t="b">
        <v>0</v>
      </c>
    </row>
    <row r="27">
      <c r="A27" s="26" t="s">
        <v>56</v>
      </c>
      <c r="B27" s="27"/>
      <c r="C27" s="28"/>
      <c r="D27" s="28"/>
      <c r="E27" s="29">
        <f t="shared" si="1"/>
        <v>0</v>
      </c>
      <c r="F27" s="27"/>
      <c r="G27" s="28"/>
      <c r="H27" s="28"/>
      <c r="I27" s="29">
        <f t="shared" si="2"/>
        <v>0</v>
      </c>
      <c r="J27" s="27"/>
      <c r="K27" s="28"/>
      <c r="L27" s="28"/>
      <c r="M27" s="29">
        <f t="shared" si="3"/>
        <v>0</v>
      </c>
      <c r="N27" s="30"/>
      <c r="O27" s="31"/>
      <c r="P27" s="31"/>
      <c r="Q27" s="23">
        <f t="shared" si="4"/>
        <v>0</v>
      </c>
      <c r="R27" s="30"/>
      <c r="S27" s="31"/>
      <c r="T27" s="31"/>
      <c r="U27" s="23">
        <f t="shared" si="5"/>
        <v>0</v>
      </c>
      <c r="V27" s="24">
        <f t="shared" si="6"/>
        <v>0</v>
      </c>
      <c r="W27" s="25" t="s">
        <v>8</v>
      </c>
      <c r="Y27" s="76">
        <v>44928.0</v>
      </c>
      <c r="Z27" s="77"/>
      <c r="AA27" s="77"/>
      <c r="AB27" s="80" t="b">
        <v>0</v>
      </c>
      <c r="AC27" s="81" t="b">
        <v>0</v>
      </c>
    </row>
    <row r="28">
      <c r="A28" s="70" t="s">
        <v>57</v>
      </c>
      <c r="B28" s="27"/>
      <c r="C28" s="28"/>
      <c r="D28" s="28"/>
      <c r="E28" s="29">
        <f t="shared" si="1"/>
        <v>0</v>
      </c>
      <c r="F28" s="27"/>
      <c r="G28" s="28"/>
      <c r="H28" s="28"/>
      <c r="I28" s="29">
        <f t="shared" si="2"/>
        <v>0</v>
      </c>
      <c r="J28" s="27"/>
      <c r="K28" s="28"/>
      <c r="L28" s="28"/>
      <c r="M28" s="29">
        <f t="shared" si="3"/>
        <v>0</v>
      </c>
      <c r="N28" s="30"/>
      <c r="O28" s="31"/>
      <c r="P28" s="31"/>
      <c r="Q28" s="23">
        <f t="shared" si="4"/>
        <v>0</v>
      </c>
      <c r="R28" s="30"/>
      <c r="S28" s="31"/>
      <c r="T28" s="31"/>
      <c r="U28" s="23">
        <f t="shared" si="5"/>
        <v>0</v>
      </c>
      <c r="V28" s="24">
        <f t="shared" si="6"/>
        <v>0</v>
      </c>
      <c r="W28" s="25" t="s">
        <v>8</v>
      </c>
      <c r="X28" s="49"/>
      <c r="Y28" s="76">
        <v>44960.0</v>
      </c>
      <c r="Z28" s="77"/>
      <c r="AA28" s="77"/>
      <c r="AB28" s="80" t="b">
        <v>0</v>
      </c>
      <c r="AC28" s="81" t="b">
        <v>0</v>
      </c>
    </row>
    <row r="29">
      <c r="A29" s="26" t="s">
        <v>58</v>
      </c>
      <c r="B29" s="27"/>
      <c r="C29" s="28"/>
      <c r="D29" s="28"/>
      <c r="E29" s="29">
        <f t="shared" si="1"/>
        <v>0</v>
      </c>
      <c r="F29" s="27"/>
      <c r="G29" s="28"/>
      <c r="H29" s="28"/>
      <c r="I29" s="29">
        <f t="shared" si="2"/>
        <v>0</v>
      </c>
      <c r="J29" s="27"/>
      <c r="K29" s="28"/>
      <c r="L29" s="28"/>
      <c r="M29" s="29">
        <f t="shared" si="3"/>
        <v>0</v>
      </c>
      <c r="N29" s="30"/>
      <c r="O29" s="31"/>
      <c r="P29" s="31"/>
      <c r="Q29" s="23">
        <f t="shared" si="4"/>
        <v>0</v>
      </c>
      <c r="R29" s="30"/>
      <c r="S29" s="31"/>
      <c r="T29" s="31"/>
      <c r="U29" s="23">
        <f t="shared" si="5"/>
        <v>0</v>
      </c>
      <c r="V29" s="24">
        <f t="shared" si="6"/>
        <v>0</v>
      </c>
      <c r="W29" s="25" t="s">
        <v>8</v>
      </c>
      <c r="X29" s="49"/>
      <c r="Y29" s="76">
        <v>44989.0</v>
      </c>
      <c r="Z29" s="77"/>
      <c r="AA29" s="77"/>
      <c r="AB29" s="80" t="b">
        <v>0</v>
      </c>
      <c r="AC29" s="81" t="b">
        <v>0</v>
      </c>
    </row>
    <row r="30">
      <c r="A30" s="26" t="s">
        <v>59</v>
      </c>
      <c r="B30" s="27"/>
      <c r="C30" s="28"/>
      <c r="D30" s="28"/>
      <c r="E30" s="29">
        <f t="shared" si="1"/>
        <v>0</v>
      </c>
      <c r="F30" s="27"/>
      <c r="G30" s="28"/>
      <c r="H30" s="28"/>
      <c r="I30" s="29">
        <f t="shared" si="2"/>
        <v>0</v>
      </c>
      <c r="J30" s="27"/>
      <c r="K30" s="28"/>
      <c r="L30" s="28"/>
      <c r="M30" s="29">
        <f t="shared" si="3"/>
        <v>0</v>
      </c>
      <c r="N30" s="30"/>
      <c r="O30" s="31"/>
      <c r="P30" s="31"/>
      <c r="Q30" s="23">
        <f t="shared" si="4"/>
        <v>0</v>
      </c>
      <c r="R30" s="30"/>
      <c r="S30" s="31"/>
      <c r="T30" s="64">
        <v>2.0</v>
      </c>
      <c r="U30" s="23">
        <f t="shared" si="5"/>
        <v>2</v>
      </c>
      <c r="V30" s="24">
        <f t="shared" si="6"/>
        <v>2</v>
      </c>
      <c r="W30" s="25" t="s">
        <v>25</v>
      </c>
      <c r="X30" s="49"/>
      <c r="Y30" s="49"/>
      <c r="Z30" s="49"/>
      <c r="AA30" s="49"/>
      <c r="AB30" s="49"/>
      <c r="AC30" s="49"/>
    </row>
    <row r="31">
      <c r="A31" s="70" t="s">
        <v>60</v>
      </c>
      <c r="B31" s="27"/>
      <c r="C31" s="28"/>
      <c r="D31" s="28"/>
      <c r="E31" s="29">
        <f t="shared" si="1"/>
        <v>0</v>
      </c>
      <c r="F31" s="27"/>
      <c r="G31" s="28"/>
      <c r="H31" s="28"/>
      <c r="I31" s="29">
        <f t="shared" si="2"/>
        <v>0</v>
      </c>
      <c r="J31" s="27"/>
      <c r="K31" s="28"/>
      <c r="L31" s="28"/>
      <c r="M31" s="29">
        <f t="shared" si="3"/>
        <v>0</v>
      </c>
      <c r="N31" s="30"/>
      <c r="O31" s="31"/>
      <c r="P31" s="31"/>
      <c r="Q31" s="23">
        <f t="shared" si="4"/>
        <v>0</v>
      </c>
      <c r="R31" s="30"/>
      <c r="S31" s="31"/>
      <c r="T31" s="31"/>
      <c r="U31" s="23">
        <f t="shared" si="5"/>
        <v>0</v>
      </c>
      <c r="V31" s="24">
        <f t="shared" si="6"/>
        <v>0</v>
      </c>
      <c r="W31" s="25" t="s">
        <v>22</v>
      </c>
      <c r="X31" s="49"/>
      <c r="Y31" s="82"/>
      <c r="Z31" s="82"/>
      <c r="AA31" s="82"/>
      <c r="AB31" s="82"/>
      <c r="AC31" s="82"/>
    </row>
    <row r="32">
      <c r="A32" s="26" t="s">
        <v>61</v>
      </c>
      <c r="B32" s="27"/>
      <c r="C32" s="28"/>
      <c r="D32" s="28"/>
      <c r="E32" s="29">
        <f t="shared" si="1"/>
        <v>0</v>
      </c>
      <c r="F32" s="27"/>
      <c r="G32" s="28"/>
      <c r="H32" s="28"/>
      <c r="I32" s="29">
        <f t="shared" si="2"/>
        <v>0</v>
      </c>
      <c r="J32" s="27"/>
      <c r="K32" s="28"/>
      <c r="L32" s="28"/>
      <c r="M32" s="29">
        <f t="shared" si="3"/>
        <v>0</v>
      </c>
      <c r="N32" s="30"/>
      <c r="O32" s="31"/>
      <c r="P32" s="31"/>
      <c r="Q32" s="23">
        <f t="shared" si="4"/>
        <v>0</v>
      </c>
      <c r="R32" s="30"/>
      <c r="S32" s="31"/>
      <c r="T32" s="31"/>
      <c r="U32" s="23">
        <f t="shared" si="5"/>
        <v>0</v>
      </c>
      <c r="V32" s="24">
        <f t="shared" si="6"/>
        <v>0</v>
      </c>
      <c r="W32" s="25" t="s">
        <v>8</v>
      </c>
      <c r="X32" s="49"/>
      <c r="Y32" s="83" t="s">
        <v>62</v>
      </c>
      <c r="Z32" s="84"/>
      <c r="AA32" s="84"/>
      <c r="AB32" s="84"/>
      <c r="AC32" s="85"/>
    </row>
    <row r="33">
      <c r="A33" s="26" t="s">
        <v>63</v>
      </c>
      <c r="B33" s="27"/>
      <c r="C33" s="28"/>
      <c r="D33" s="28"/>
      <c r="E33" s="29">
        <f t="shared" si="1"/>
        <v>0</v>
      </c>
      <c r="F33" s="27"/>
      <c r="G33" s="28"/>
      <c r="H33" s="28"/>
      <c r="I33" s="29">
        <f t="shared" si="2"/>
        <v>0</v>
      </c>
      <c r="J33" s="27"/>
      <c r="K33" s="28"/>
      <c r="L33" s="28"/>
      <c r="M33" s="29">
        <f t="shared" si="3"/>
        <v>0</v>
      </c>
      <c r="N33" s="38">
        <v>1.0</v>
      </c>
      <c r="O33" s="31"/>
      <c r="P33" s="64">
        <v>2.0</v>
      </c>
      <c r="Q33" s="23">
        <f t="shared" si="4"/>
        <v>3</v>
      </c>
      <c r="R33" s="30"/>
      <c r="S33" s="31"/>
      <c r="T33" s="31"/>
      <c r="U33" s="23">
        <f t="shared" si="5"/>
        <v>0</v>
      </c>
      <c r="V33" s="24">
        <f t="shared" si="6"/>
        <v>3</v>
      </c>
      <c r="W33" s="25" t="s">
        <v>8</v>
      </c>
      <c r="X33" s="49"/>
      <c r="Y33" s="74" t="s">
        <v>49</v>
      </c>
      <c r="Z33" s="75" t="s">
        <v>50</v>
      </c>
      <c r="AA33" s="75" t="s">
        <v>64</v>
      </c>
      <c r="AB33" s="75" t="s">
        <v>2</v>
      </c>
      <c r="AC33" s="75" t="s">
        <v>41</v>
      </c>
    </row>
    <row r="34">
      <c r="A34" s="26" t="s">
        <v>65</v>
      </c>
      <c r="B34" s="27"/>
      <c r="C34" s="28"/>
      <c r="D34" s="28"/>
      <c r="E34" s="29">
        <f t="shared" si="1"/>
        <v>0</v>
      </c>
      <c r="F34" s="27"/>
      <c r="G34" s="28"/>
      <c r="H34" s="28"/>
      <c r="I34" s="29">
        <f t="shared" si="2"/>
        <v>0</v>
      </c>
      <c r="J34" s="27"/>
      <c r="K34" s="28"/>
      <c r="L34" s="28"/>
      <c r="M34" s="29">
        <f t="shared" si="3"/>
        <v>0</v>
      </c>
      <c r="N34" s="30"/>
      <c r="O34" s="31"/>
      <c r="P34" s="31"/>
      <c r="Q34" s="23">
        <f t="shared" si="4"/>
        <v>0</v>
      </c>
      <c r="R34" s="30"/>
      <c r="S34" s="31"/>
      <c r="T34" s="31"/>
      <c r="U34" s="23">
        <f t="shared" si="5"/>
        <v>0</v>
      </c>
      <c r="V34" s="24">
        <f t="shared" si="6"/>
        <v>0</v>
      </c>
      <c r="W34" s="25" t="s">
        <v>8</v>
      </c>
      <c r="X34" s="49"/>
      <c r="Y34" s="76">
        <v>45179.0</v>
      </c>
      <c r="Z34" s="77"/>
      <c r="AA34" s="77"/>
      <c r="AB34" s="78" t="b">
        <v>0</v>
      </c>
      <c r="AC34" s="79" t="b">
        <v>0</v>
      </c>
    </row>
    <row r="35">
      <c r="A35" s="26" t="s">
        <v>66</v>
      </c>
      <c r="B35" s="27"/>
      <c r="C35" s="28"/>
      <c r="D35" s="28"/>
      <c r="E35" s="29">
        <f t="shared" si="1"/>
        <v>0</v>
      </c>
      <c r="F35" s="27"/>
      <c r="G35" s="28"/>
      <c r="H35" s="28"/>
      <c r="I35" s="29">
        <f t="shared" si="2"/>
        <v>0</v>
      </c>
      <c r="J35" s="27"/>
      <c r="K35" s="28"/>
      <c r="L35" s="28"/>
      <c r="M35" s="29">
        <f t="shared" si="3"/>
        <v>0</v>
      </c>
      <c r="N35" s="30"/>
      <c r="O35" s="31"/>
      <c r="P35" s="31"/>
      <c r="Q35" s="23">
        <f t="shared" si="4"/>
        <v>0</v>
      </c>
      <c r="R35" s="38">
        <v>1.0</v>
      </c>
      <c r="S35" s="31"/>
      <c r="T35" s="31"/>
      <c r="U35" s="23">
        <f t="shared" si="5"/>
        <v>1</v>
      </c>
      <c r="V35" s="24">
        <f t="shared" si="6"/>
        <v>1</v>
      </c>
      <c r="W35" s="25" t="s">
        <v>8</v>
      </c>
      <c r="X35" s="49"/>
      <c r="Y35" s="76">
        <v>45210.0</v>
      </c>
      <c r="Z35" s="77"/>
      <c r="AA35" s="77"/>
      <c r="AB35" s="80" t="b">
        <v>0</v>
      </c>
      <c r="AC35" s="81" t="b">
        <v>0</v>
      </c>
    </row>
    <row r="36">
      <c r="A36" s="26" t="s">
        <v>67</v>
      </c>
      <c r="B36" s="63"/>
      <c r="C36" s="28"/>
      <c r="D36" s="28"/>
      <c r="E36" s="29">
        <f t="shared" si="1"/>
        <v>0</v>
      </c>
      <c r="F36" s="27"/>
      <c r="G36" s="28"/>
      <c r="H36" s="28"/>
      <c r="I36" s="29">
        <f t="shared" si="2"/>
        <v>0</v>
      </c>
      <c r="J36" s="27"/>
      <c r="K36" s="28"/>
      <c r="L36" s="28"/>
      <c r="M36" s="29">
        <f t="shared" si="3"/>
        <v>0</v>
      </c>
      <c r="N36" s="30"/>
      <c r="O36" s="31"/>
      <c r="P36" s="64">
        <v>1.0</v>
      </c>
      <c r="Q36" s="23">
        <f t="shared" si="4"/>
        <v>1</v>
      </c>
      <c r="R36" s="30"/>
      <c r="S36" s="31"/>
      <c r="T36" s="31"/>
      <c r="U36" s="23">
        <f t="shared" si="5"/>
        <v>0</v>
      </c>
      <c r="V36" s="24">
        <f t="shared" si="6"/>
        <v>1</v>
      </c>
      <c r="W36" s="25" t="s">
        <v>20</v>
      </c>
      <c r="X36" s="49"/>
      <c r="Y36" s="76">
        <v>45242.0</v>
      </c>
      <c r="Z36" s="77"/>
      <c r="AA36" s="77"/>
      <c r="AB36" s="80" t="b">
        <v>0</v>
      </c>
      <c r="AC36" s="81" t="b">
        <v>0</v>
      </c>
    </row>
    <row r="37">
      <c r="A37" s="26" t="s">
        <v>68</v>
      </c>
      <c r="B37" s="27"/>
      <c r="C37" s="28"/>
      <c r="D37" s="28"/>
      <c r="E37" s="29">
        <f t="shared" si="1"/>
        <v>0</v>
      </c>
      <c r="F37" s="27"/>
      <c r="G37" s="28"/>
      <c r="H37" s="28"/>
      <c r="I37" s="29">
        <f t="shared" si="2"/>
        <v>0</v>
      </c>
      <c r="J37" s="27"/>
      <c r="K37" s="28"/>
      <c r="L37" s="28"/>
      <c r="M37" s="29">
        <f t="shared" si="3"/>
        <v>0</v>
      </c>
      <c r="N37" s="30"/>
      <c r="O37" s="31"/>
      <c r="P37" s="31"/>
      <c r="Q37" s="23">
        <f t="shared" si="4"/>
        <v>0</v>
      </c>
      <c r="R37" s="30"/>
      <c r="S37" s="31"/>
      <c r="T37" s="31"/>
      <c r="U37" s="23">
        <f t="shared" si="5"/>
        <v>0</v>
      </c>
      <c r="V37" s="24">
        <f t="shared" si="6"/>
        <v>0</v>
      </c>
      <c r="W37" s="25" t="s">
        <v>8</v>
      </c>
      <c r="X37" s="49"/>
      <c r="Y37" s="76">
        <v>45261.0</v>
      </c>
      <c r="Z37" s="77"/>
      <c r="AA37" s="77"/>
      <c r="AB37" s="80" t="b">
        <v>0</v>
      </c>
      <c r="AC37" s="81" t="b">
        <v>0</v>
      </c>
    </row>
    <row r="38">
      <c r="A38" s="26" t="s">
        <v>69</v>
      </c>
      <c r="B38" s="27"/>
      <c r="C38" s="28"/>
      <c r="D38" s="28"/>
      <c r="E38" s="29">
        <f t="shared" si="1"/>
        <v>0</v>
      </c>
      <c r="F38" s="27"/>
      <c r="G38" s="28"/>
      <c r="H38" s="28"/>
      <c r="I38" s="29">
        <f t="shared" si="2"/>
        <v>0</v>
      </c>
      <c r="J38" s="27"/>
      <c r="K38" s="28"/>
      <c r="L38" s="28"/>
      <c r="M38" s="29">
        <f t="shared" si="3"/>
        <v>0</v>
      </c>
      <c r="N38" s="30"/>
      <c r="O38" s="31"/>
      <c r="P38" s="31"/>
      <c r="Q38" s="23">
        <f t="shared" si="4"/>
        <v>0</v>
      </c>
      <c r="R38" s="30"/>
      <c r="S38" s="31"/>
      <c r="T38" s="31"/>
      <c r="U38" s="23">
        <f t="shared" si="5"/>
        <v>0</v>
      </c>
      <c r="V38" s="24">
        <f t="shared" si="6"/>
        <v>0</v>
      </c>
      <c r="W38" s="25" t="s">
        <v>8</v>
      </c>
      <c r="X38" s="49"/>
      <c r="Y38" s="76">
        <v>44928.0</v>
      </c>
      <c r="Z38" s="77"/>
      <c r="AA38" s="77"/>
      <c r="AB38" s="80" t="b">
        <v>0</v>
      </c>
      <c r="AC38" s="81" t="b">
        <v>0</v>
      </c>
    </row>
    <row r="39">
      <c r="A39" s="26" t="s">
        <v>70</v>
      </c>
      <c r="B39" s="27"/>
      <c r="C39" s="28"/>
      <c r="D39" s="28"/>
      <c r="E39" s="29">
        <f t="shared" si="1"/>
        <v>0</v>
      </c>
      <c r="F39" s="27"/>
      <c r="G39" s="28"/>
      <c r="H39" s="28"/>
      <c r="I39" s="29">
        <f t="shared" si="2"/>
        <v>0</v>
      </c>
      <c r="J39" s="27"/>
      <c r="K39" s="28"/>
      <c r="L39" s="28"/>
      <c r="M39" s="29">
        <f t="shared" si="3"/>
        <v>0</v>
      </c>
      <c r="N39" s="30"/>
      <c r="O39" s="31"/>
      <c r="P39" s="31"/>
      <c r="Q39" s="23">
        <f t="shared" si="4"/>
        <v>0</v>
      </c>
      <c r="R39" s="30"/>
      <c r="S39" s="31"/>
      <c r="T39" s="31"/>
      <c r="U39" s="23">
        <f t="shared" si="5"/>
        <v>0</v>
      </c>
      <c r="V39" s="24">
        <f t="shared" si="6"/>
        <v>0</v>
      </c>
      <c r="W39" s="25" t="s">
        <v>8</v>
      </c>
      <c r="X39" s="49"/>
      <c r="Y39" s="76">
        <v>44960.0</v>
      </c>
      <c r="Z39" s="77"/>
      <c r="AA39" s="77"/>
      <c r="AB39" s="80" t="b">
        <v>0</v>
      </c>
      <c r="AC39" s="81" t="b">
        <v>0</v>
      </c>
    </row>
    <row r="40">
      <c r="A40" s="26" t="s">
        <v>71</v>
      </c>
      <c r="B40" s="27"/>
      <c r="C40" s="28"/>
      <c r="D40" s="28"/>
      <c r="E40" s="29">
        <f t="shared" si="1"/>
        <v>0</v>
      </c>
      <c r="F40" s="27"/>
      <c r="G40" s="28"/>
      <c r="H40" s="28"/>
      <c r="I40" s="29">
        <f t="shared" si="2"/>
        <v>0</v>
      </c>
      <c r="J40" s="27"/>
      <c r="K40" s="28"/>
      <c r="L40" s="28"/>
      <c r="M40" s="29">
        <f t="shared" si="3"/>
        <v>0</v>
      </c>
      <c r="N40" s="30"/>
      <c r="O40" s="31"/>
      <c r="P40" s="31"/>
      <c r="Q40" s="23">
        <f t="shared" si="4"/>
        <v>0</v>
      </c>
      <c r="R40" s="30"/>
      <c r="S40" s="31"/>
      <c r="T40" s="31"/>
      <c r="U40" s="23">
        <f t="shared" si="5"/>
        <v>0</v>
      </c>
      <c r="V40" s="24">
        <f t="shared" si="6"/>
        <v>0</v>
      </c>
      <c r="W40" s="25" t="s">
        <v>8</v>
      </c>
      <c r="X40" s="49"/>
      <c r="Y40" s="76">
        <v>44989.0</v>
      </c>
      <c r="Z40" s="77"/>
      <c r="AA40" s="77"/>
      <c r="AB40" s="80" t="b">
        <v>0</v>
      </c>
      <c r="AC40" s="81" t="b">
        <v>0</v>
      </c>
    </row>
    <row r="41">
      <c r="A41" s="26" t="s">
        <v>72</v>
      </c>
      <c r="B41" s="27"/>
      <c r="C41" s="28"/>
      <c r="D41" s="28"/>
      <c r="E41" s="29">
        <f t="shared" si="1"/>
        <v>0</v>
      </c>
      <c r="F41" s="27"/>
      <c r="G41" s="28"/>
      <c r="H41" s="28"/>
      <c r="I41" s="29">
        <f t="shared" si="2"/>
        <v>0</v>
      </c>
      <c r="J41" s="27"/>
      <c r="K41" s="28"/>
      <c r="L41" s="28"/>
      <c r="M41" s="29">
        <f t="shared" si="3"/>
        <v>0</v>
      </c>
      <c r="N41" s="30"/>
      <c r="O41" s="31"/>
      <c r="P41" s="31"/>
      <c r="Q41" s="23">
        <f t="shared" si="4"/>
        <v>0</v>
      </c>
      <c r="R41" s="30"/>
      <c r="S41" s="31"/>
      <c r="T41" s="31"/>
      <c r="U41" s="23">
        <f t="shared" si="5"/>
        <v>0</v>
      </c>
      <c r="V41" s="24">
        <f t="shared" si="6"/>
        <v>0</v>
      </c>
      <c r="W41" s="25" t="s">
        <v>8</v>
      </c>
      <c r="X41" s="49"/>
      <c r="Y41" s="82"/>
      <c r="Z41" s="82"/>
      <c r="AA41" s="82"/>
      <c r="AB41" s="82"/>
      <c r="AC41" s="82"/>
    </row>
    <row r="42">
      <c r="A42" s="26" t="s">
        <v>73</v>
      </c>
      <c r="B42" s="27"/>
      <c r="C42" s="28"/>
      <c r="D42" s="28"/>
      <c r="E42" s="29">
        <f t="shared" si="1"/>
        <v>0</v>
      </c>
      <c r="F42" s="27"/>
      <c r="G42" s="28"/>
      <c r="H42" s="28"/>
      <c r="I42" s="29">
        <f t="shared" si="2"/>
        <v>0</v>
      </c>
      <c r="J42" s="27"/>
      <c r="K42" s="28"/>
      <c r="L42" s="28"/>
      <c r="M42" s="29">
        <f t="shared" si="3"/>
        <v>0</v>
      </c>
      <c r="N42" s="30"/>
      <c r="O42" s="31"/>
      <c r="P42" s="31"/>
      <c r="Q42" s="23">
        <f t="shared" si="4"/>
        <v>0</v>
      </c>
      <c r="R42" s="30"/>
      <c r="S42" s="31"/>
      <c r="T42" s="31"/>
      <c r="U42" s="23">
        <f t="shared" si="5"/>
        <v>0</v>
      </c>
      <c r="V42" s="24">
        <f t="shared" si="6"/>
        <v>0</v>
      </c>
      <c r="W42" s="25" t="s">
        <v>22</v>
      </c>
      <c r="X42" s="25"/>
      <c r="Y42" s="83" t="s">
        <v>74</v>
      </c>
      <c r="Z42" s="84"/>
      <c r="AA42" s="84"/>
      <c r="AB42" s="84"/>
      <c r="AC42" s="85"/>
    </row>
    <row r="43">
      <c r="A43" s="26" t="s">
        <v>75</v>
      </c>
      <c r="B43" s="27"/>
      <c r="C43" s="28"/>
      <c r="D43" s="28"/>
      <c r="E43" s="29">
        <f t="shared" si="1"/>
        <v>0</v>
      </c>
      <c r="F43" s="27"/>
      <c r="G43" s="28"/>
      <c r="H43" s="28"/>
      <c r="I43" s="29">
        <f t="shared" si="2"/>
        <v>0</v>
      </c>
      <c r="J43" s="27"/>
      <c r="K43" s="28"/>
      <c r="L43" s="28"/>
      <c r="M43" s="29">
        <f t="shared" si="3"/>
        <v>0</v>
      </c>
      <c r="N43" s="30"/>
      <c r="O43" s="31"/>
      <c r="P43" s="31"/>
      <c r="Q43" s="23">
        <f t="shared" si="4"/>
        <v>0</v>
      </c>
      <c r="R43" s="30"/>
      <c r="S43" s="31"/>
      <c r="T43" s="31"/>
      <c r="U43" s="23">
        <f t="shared" si="5"/>
        <v>0</v>
      </c>
      <c r="V43" s="24">
        <f t="shared" si="6"/>
        <v>0</v>
      </c>
      <c r="W43" s="25" t="s">
        <v>25</v>
      </c>
      <c r="X43" s="49"/>
      <c r="Y43" s="74" t="s">
        <v>49</v>
      </c>
      <c r="Z43" s="75" t="s">
        <v>50</v>
      </c>
      <c r="AA43" s="75" t="s">
        <v>64</v>
      </c>
      <c r="AB43" s="75" t="s">
        <v>2</v>
      </c>
      <c r="AC43" s="75" t="s">
        <v>41</v>
      </c>
    </row>
    <row r="44">
      <c r="A44" s="26" t="s">
        <v>76</v>
      </c>
      <c r="B44" s="27"/>
      <c r="C44" s="28"/>
      <c r="D44" s="28"/>
      <c r="E44" s="29">
        <f t="shared" si="1"/>
        <v>0</v>
      </c>
      <c r="F44" s="27"/>
      <c r="G44" s="28"/>
      <c r="H44" s="28"/>
      <c r="I44" s="29">
        <f t="shared" si="2"/>
        <v>0</v>
      </c>
      <c r="J44" s="27"/>
      <c r="K44" s="28"/>
      <c r="L44" s="28"/>
      <c r="M44" s="29">
        <f t="shared" si="3"/>
        <v>0</v>
      </c>
      <c r="N44" s="30"/>
      <c r="O44" s="31"/>
      <c r="P44" s="31"/>
      <c r="Q44" s="23">
        <f t="shared" si="4"/>
        <v>0</v>
      </c>
      <c r="R44" s="30"/>
      <c r="S44" s="31"/>
      <c r="T44" s="31"/>
      <c r="U44" s="23">
        <f t="shared" si="5"/>
        <v>0</v>
      </c>
      <c r="V44" s="24">
        <f t="shared" si="6"/>
        <v>0</v>
      </c>
      <c r="W44" s="25" t="s">
        <v>22</v>
      </c>
      <c r="X44" s="49"/>
      <c r="Y44" s="76">
        <v>45179.0</v>
      </c>
      <c r="Z44" s="77"/>
      <c r="AA44" s="77"/>
      <c r="AB44" s="78" t="b">
        <v>0</v>
      </c>
      <c r="AC44" s="79" t="b">
        <v>0</v>
      </c>
    </row>
    <row r="45">
      <c r="A45" s="26" t="s">
        <v>77</v>
      </c>
      <c r="B45" s="27"/>
      <c r="C45" s="28"/>
      <c r="D45" s="28"/>
      <c r="E45" s="29">
        <f t="shared" si="1"/>
        <v>0</v>
      </c>
      <c r="F45" s="27"/>
      <c r="G45" s="28"/>
      <c r="H45" s="28"/>
      <c r="I45" s="29">
        <f t="shared" si="2"/>
        <v>0</v>
      </c>
      <c r="J45" s="27"/>
      <c r="K45" s="28"/>
      <c r="L45" s="28"/>
      <c r="M45" s="29">
        <f t="shared" si="3"/>
        <v>0</v>
      </c>
      <c r="N45" s="30"/>
      <c r="O45" s="31"/>
      <c r="P45" s="31"/>
      <c r="Q45" s="23">
        <f t="shared" si="4"/>
        <v>0</v>
      </c>
      <c r="R45" s="30"/>
      <c r="S45" s="31"/>
      <c r="T45" s="31"/>
      <c r="U45" s="23">
        <f t="shared" si="5"/>
        <v>0</v>
      </c>
      <c r="V45" s="24">
        <f t="shared" si="6"/>
        <v>0</v>
      </c>
      <c r="W45" s="25" t="s">
        <v>22</v>
      </c>
      <c r="X45" s="49"/>
      <c r="Y45" s="76">
        <v>45210.0</v>
      </c>
      <c r="Z45" s="77"/>
      <c r="AA45" s="77"/>
      <c r="AB45" s="80" t="b">
        <v>0</v>
      </c>
      <c r="AC45" s="81" t="b">
        <v>0</v>
      </c>
    </row>
    <row r="46">
      <c r="A46" s="26" t="s">
        <v>78</v>
      </c>
      <c r="B46" s="27"/>
      <c r="C46" s="28"/>
      <c r="D46" s="28"/>
      <c r="E46" s="29">
        <f t="shared" si="1"/>
        <v>0</v>
      </c>
      <c r="F46" s="27"/>
      <c r="G46" s="28"/>
      <c r="H46" s="28"/>
      <c r="I46" s="29">
        <f t="shared" si="2"/>
        <v>0</v>
      </c>
      <c r="J46" s="27"/>
      <c r="K46" s="28"/>
      <c r="L46" s="28"/>
      <c r="M46" s="29">
        <f t="shared" si="3"/>
        <v>0</v>
      </c>
      <c r="N46" s="30"/>
      <c r="O46" s="31"/>
      <c r="P46" s="31"/>
      <c r="Q46" s="23">
        <f t="shared" si="4"/>
        <v>0</v>
      </c>
      <c r="R46" s="30"/>
      <c r="S46" s="31"/>
      <c r="T46" s="31"/>
      <c r="U46" s="23">
        <f t="shared" si="5"/>
        <v>0</v>
      </c>
      <c r="V46" s="24">
        <f t="shared" si="6"/>
        <v>0</v>
      </c>
      <c r="W46" s="25" t="s">
        <v>8</v>
      </c>
      <c r="X46" s="49"/>
      <c r="Y46" s="76">
        <v>45242.0</v>
      </c>
      <c r="Z46" s="77"/>
      <c r="AA46" s="77"/>
      <c r="AB46" s="80" t="b">
        <v>0</v>
      </c>
      <c r="AC46" s="81" t="b">
        <v>0</v>
      </c>
    </row>
    <row r="47">
      <c r="A47" s="26" t="s">
        <v>79</v>
      </c>
      <c r="B47" s="27"/>
      <c r="C47" s="28"/>
      <c r="D47" s="28"/>
      <c r="E47" s="29">
        <f t="shared" si="1"/>
        <v>0</v>
      </c>
      <c r="F47" s="27"/>
      <c r="G47" s="28"/>
      <c r="H47" s="28"/>
      <c r="I47" s="29">
        <f t="shared" si="2"/>
        <v>0</v>
      </c>
      <c r="J47" s="27"/>
      <c r="K47" s="28"/>
      <c r="L47" s="28"/>
      <c r="M47" s="29">
        <f t="shared" si="3"/>
        <v>0</v>
      </c>
      <c r="N47" s="30"/>
      <c r="O47" s="31"/>
      <c r="P47" s="31"/>
      <c r="Q47" s="23">
        <f t="shared" si="4"/>
        <v>0</v>
      </c>
      <c r="R47" s="30"/>
      <c r="S47" s="31"/>
      <c r="T47" s="31"/>
      <c r="U47" s="23">
        <f t="shared" si="5"/>
        <v>0</v>
      </c>
      <c r="V47" s="24">
        <f t="shared" si="6"/>
        <v>0</v>
      </c>
      <c r="W47" s="25" t="s">
        <v>25</v>
      </c>
      <c r="X47" s="49"/>
      <c r="Y47" s="76">
        <v>45261.0</v>
      </c>
      <c r="Z47" s="77"/>
      <c r="AA47" s="77"/>
      <c r="AB47" s="80" t="b">
        <v>0</v>
      </c>
      <c r="AC47" s="81" t="b">
        <v>0</v>
      </c>
    </row>
    <row r="48">
      <c r="A48" s="26" t="s">
        <v>80</v>
      </c>
      <c r="B48" s="27"/>
      <c r="C48" s="28"/>
      <c r="D48" s="28"/>
      <c r="E48" s="29">
        <f t="shared" si="1"/>
        <v>0</v>
      </c>
      <c r="F48" s="27"/>
      <c r="G48" s="28"/>
      <c r="H48" s="28"/>
      <c r="I48" s="29">
        <f t="shared" si="2"/>
        <v>0</v>
      </c>
      <c r="J48" s="27"/>
      <c r="K48" s="28"/>
      <c r="L48" s="28"/>
      <c r="M48" s="29">
        <f t="shared" si="3"/>
        <v>0</v>
      </c>
      <c r="N48" s="30"/>
      <c r="O48" s="31"/>
      <c r="P48" s="31"/>
      <c r="Q48" s="23">
        <f t="shared" si="4"/>
        <v>0</v>
      </c>
      <c r="R48" s="30"/>
      <c r="S48" s="31"/>
      <c r="T48" s="31"/>
      <c r="U48" s="23">
        <f t="shared" si="5"/>
        <v>0</v>
      </c>
      <c r="V48" s="24">
        <f t="shared" si="6"/>
        <v>0</v>
      </c>
      <c r="W48" s="25" t="s">
        <v>25</v>
      </c>
      <c r="X48" s="49"/>
      <c r="Y48" s="76">
        <v>44928.0</v>
      </c>
      <c r="Z48" s="77"/>
      <c r="AA48" s="77"/>
      <c r="AB48" s="80" t="b">
        <v>0</v>
      </c>
      <c r="AC48" s="81" t="b">
        <v>0</v>
      </c>
    </row>
    <row r="49">
      <c r="A49" s="26" t="s">
        <v>81</v>
      </c>
      <c r="B49" s="27"/>
      <c r="C49" s="28"/>
      <c r="D49" s="28"/>
      <c r="E49" s="29">
        <f t="shared" si="1"/>
        <v>0</v>
      </c>
      <c r="F49" s="27"/>
      <c r="G49" s="28"/>
      <c r="H49" s="28"/>
      <c r="I49" s="29">
        <f t="shared" si="2"/>
        <v>0</v>
      </c>
      <c r="J49" s="27"/>
      <c r="K49" s="28"/>
      <c r="L49" s="28"/>
      <c r="M49" s="29">
        <f t="shared" si="3"/>
        <v>0</v>
      </c>
      <c r="N49" s="30"/>
      <c r="O49" s="31"/>
      <c r="P49" s="31"/>
      <c r="Q49" s="23">
        <f t="shared" si="4"/>
        <v>0</v>
      </c>
      <c r="R49" s="30"/>
      <c r="S49" s="31"/>
      <c r="T49" s="31"/>
      <c r="U49" s="23">
        <f t="shared" si="5"/>
        <v>0</v>
      </c>
      <c r="V49" s="24">
        <f t="shared" si="6"/>
        <v>0</v>
      </c>
      <c r="W49" s="25" t="s">
        <v>8</v>
      </c>
      <c r="X49" s="49"/>
      <c r="Y49" s="76">
        <v>44960.0</v>
      </c>
      <c r="Z49" s="77"/>
      <c r="AA49" s="77"/>
      <c r="AB49" s="80" t="b">
        <v>0</v>
      </c>
      <c r="AC49" s="81" t="b">
        <v>0</v>
      </c>
    </row>
    <row r="50">
      <c r="A50" s="26" t="s">
        <v>82</v>
      </c>
      <c r="B50" s="27"/>
      <c r="C50" s="28"/>
      <c r="D50" s="28"/>
      <c r="E50" s="29">
        <f t="shared" si="1"/>
        <v>0</v>
      </c>
      <c r="F50" s="27"/>
      <c r="G50" s="28"/>
      <c r="H50" s="28"/>
      <c r="I50" s="29">
        <f t="shared" si="2"/>
        <v>0</v>
      </c>
      <c r="J50" s="27"/>
      <c r="K50" s="28"/>
      <c r="L50" s="28"/>
      <c r="M50" s="29">
        <f t="shared" si="3"/>
        <v>0</v>
      </c>
      <c r="N50" s="30"/>
      <c r="O50" s="31"/>
      <c r="P50" s="31"/>
      <c r="Q50" s="23">
        <f t="shared" si="4"/>
        <v>0</v>
      </c>
      <c r="R50" s="30"/>
      <c r="S50" s="31"/>
      <c r="T50" s="31"/>
      <c r="U50" s="23">
        <f t="shared" si="5"/>
        <v>0</v>
      </c>
      <c r="V50" s="24">
        <f t="shared" si="6"/>
        <v>0</v>
      </c>
      <c r="W50" s="25" t="s">
        <v>8</v>
      </c>
      <c r="X50" s="49"/>
      <c r="Y50" s="76">
        <v>44989.0</v>
      </c>
      <c r="Z50" s="77"/>
      <c r="AA50" s="77"/>
      <c r="AB50" s="80" t="b">
        <v>0</v>
      </c>
      <c r="AC50" s="81" t="b">
        <v>0</v>
      </c>
    </row>
    <row r="51">
      <c r="A51" s="26" t="s">
        <v>83</v>
      </c>
      <c r="B51" s="27"/>
      <c r="C51" s="28"/>
      <c r="D51" s="28"/>
      <c r="E51" s="29">
        <f t="shared" si="1"/>
        <v>0</v>
      </c>
      <c r="F51" s="27"/>
      <c r="G51" s="28"/>
      <c r="H51" s="28"/>
      <c r="I51" s="29">
        <f t="shared" si="2"/>
        <v>0</v>
      </c>
      <c r="J51" s="27"/>
      <c r="K51" s="28"/>
      <c r="L51" s="28"/>
      <c r="M51" s="29">
        <f t="shared" si="3"/>
        <v>0</v>
      </c>
      <c r="N51" s="30"/>
      <c r="O51" s="31"/>
      <c r="P51" s="31"/>
      <c r="Q51" s="23">
        <f t="shared" si="4"/>
        <v>0</v>
      </c>
      <c r="R51" s="30"/>
      <c r="S51" s="31"/>
      <c r="T51" s="31"/>
      <c r="U51" s="23">
        <f t="shared" si="5"/>
        <v>0</v>
      </c>
      <c r="V51" s="24">
        <f t="shared" si="6"/>
        <v>0</v>
      </c>
      <c r="W51" s="25" t="s">
        <v>8</v>
      </c>
      <c r="X51" s="49"/>
      <c r="Y51" s="82"/>
      <c r="Z51" s="82"/>
      <c r="AA51" s="82"/>
      <c r="AB51" s="82"/>
      <c r="AC51" s="82"/>
    </row>
    <row r="52">
      <c r="A52" s="26" t="s">
        <v>84</v>
      </c>
      <c r="B52" s="27"/>
      <c r="C52" s="28"/>
      <c r="D52" s="28"/>
      <c r="E52" s="29">
        <f t="shared" si="1"/>
        <v>0</v>
      </c>
      <c r="F52" s="27"/>
      <c r="G52" s="28"/>
      <c r="H52" s="28"/>
      <c r="I52" s="29">
        <f t="shared" si="2"/>
        <v>0</v>
      </c>
      <c r="J52" s="27"/>
      <c r="K52" s="28"/>
      <c r="L52" s="28"/>
      <c r="M52" s="29">
        <f t="shared" si="3"/>
        <v>0</v>
      </c>
      <c r="N52" s="30"/>
      <c r="O52" s="31"/>
      <c r="P52" s="31"/>
      <c r="Q52" s="23">
        <f t="shared" si="4"/>
        <v>0</v>
      </c>
      <c r="R52" s="30"/>
      <c r="S52" s="31"/>
      <c r="T52" s="31"/>
      <c r="U52" s="23">
        <f t="shared" si="5"/>
        <v>0</v>
      </c>
      <c r="V52" s="24">
        <f t="shared" si="6"/>
        <v>0</v>
      </c>
      <c r="W52" s="25" t="s">
        <v>8</v>
      </c>
      <c r="X52" s="49"/>
      <c r="Y52" s="83" t="s">
        <v>85</v>
      </c>
      <c r="Z52" s="84"/>
      <c r="AA52" s="84"/>
      <c r="AB52" s="84"/>
      <c r="AC52" s="85"/>
    </row>
    <row r="53">
      <c r="A53" s="26" t="s">
        <v>86</v>
      </c>
      <c r="B53" s="27"/>
      <c r="C53" s="28"/>
      <c r="D53" s="28"/>
      <c r="E53" s="29">
        <f t="shared" si="1"/>
        <v>0</v>
      </c>
      <c r="F53" s="27"/>
      <c r="G53" s="28"/>
      <c r="H53" s="28"/>
      <c r="I53" s="29">
        <f t="shared" si="2"/>
        <v>0</v>
      </c>
      <c r="J53" s="27"/>
      <c r="K53" s="28"/>
      <c r="L53" s="28"/>
      <c r="M53" s="29">
        <f t="shared" si="3"/>
        <v>0</v>
      </c>
      <c r="N53" s="30"/>
      <c r="O53" s="31"/>
      <c r="P53" s="31"/>
      <c r="Q53" s="23">
        <f t="shared" si="4"/>
        <v>0</v>
      </c>
      <c r="R53" s="30"/>
      <c r="S53" s="31"/>
      <c r="T53" s="31"/>
      <c r="U53" s="23">
        <f t="shared" si="5"/>
        <v>0</v>
      </c>
      <c r="V53" s="24">
        <f t="shared" si="6"/>
        <v>0</v>
      </c>
      <c r="W53" s="25" t="s">
        <v>25</v>
      </c>
      <c r="X53" s="49"/>
      <c r="Y53" s="74" t="s">
        <v>49</v>
      </c>
      <c r="Z53" s="75" t="s">
        <v>50</v>
      </c>
      <c r="AA53" s="75" t="s">
        <v>64</v>
      </c>
      <c r="AB53" s="75" t="s">
        <v>2</v>
      </c>
      <c r="AC53" s="75" t="s">
        <v>41</v>
      </c>
    </row>
    <row r="54">
      <c r="A54" s="26" t="s">
        <v>87</v>
      </c>
      <c r="B54" s="27"/>
      <c r="C54" s="28"/>
      <c r="D54" s="28"/>
      <c r="E54" s="29">
        <f t="shared" si="1"/>
        <v>0</v>
      </c>
      <c r="F54" s="27"/>
      <c r="G54" s="28"/>
      <c r="H54" s="28"/>
      <c r="I54" s="29">
        <f t="shared" si="2"/>
        <v>0</v>
      </c>
      <c r="J54" s="27"/>
      <c r="K54" s="28"/>
      <c r="L54" s="28"/>
      <c r="M54" s="29">
        <f t="shared" si="3"/>
        <v>0</v>
      </c>
      <c r="N54" s="30"/>
      <c r="O54" s="31"/>
      <c r="P54" s="31"/>
      <c r="Q54" s="23">
        <f t="shared" si="4"/>
        <v>0</v>
      </c>
      <c r="R54" s="30"/>
      <c r="S54" s="31"/>
      <c r="T54" s="31"/>
      <c r="U54" s="23">
        <f t="shared" si="5"/>
        <v>0</v>
      </c>
      <c r="V54" s="24">
        <f t="shared" si="6"/>
        <v>0</v>
      </c>
      <c r="W54" s="25" t="s">
        <v>22</v>
      </c>
      <c r="X54" s="49"/>
      <c r="Y54" s="76">
        <v>45179.0</v>
      </c>
      <c r="Z54" s="77"/>
      <c r="AA54" s="77"/>
      <c r="AB54" s="78" t="b">
        <v>0</v>
      </c>
      <c r="AC54" s="79" t="b">
        <v>0</v>
      </c>
    </row>
    <row r="55">
      <c r="A55" s="26" t="s">
        <v>88</v>
      </c>
      <c r="B55" s="27"/>
      <c r="C55" s="28"/>
      <c r="D55" s="28"/>
      <c r="E55" s="29">
        <f t="shared" si="1"/>
        <v>0</v>
      </c>
      <c r="F55" s="27"/>
      <c r="G55" s="28"/>
      <c r="H55" s="28"/>
      <c r="I55" s="29">
        <f t="shared" si="2"/>
        <v>0</v>
      </c>
      <c r="J55" s="27"/>
      <c r="K55" s="28"/>
      <c r="L55" s="28"/>
      <c r="M55" s="29">
        <f t="shared" si="3"/>
        <v>0</v>
      </c>
      <c r="N55" s="30"/>
      <c r="O55" s="31"/>
      <c r="P55" s="31"/>
      <c r="Q55" s="23">
        <f t="shared" si="4"/>
        <v>0</v>
      </c>
      <c r="R55" s="30"/>
      <c r="S55" s="31"/>
      <c r="T55" s="31"/>
      <c r="U55" s="23">
        <f t="shared" si="5"/>
        <v>0</v>
      </c>
      <c r="V55" s="24">
        <f t="shared" si="6"/>
        <v>0</v>
      </c>
      <c r="W55" s="25" t="s">
        <v>25</v>
      </c>
      <c r="X55" s="49"/>
      <c r="Y55" s="76">
        <v>45210.0</v>
      </c>
      <c r="Z55" s="77"/>
      <c r="AA55" s="77"/>
      <c r="AB55" s="80" t="b">
        <v>0</v>
      </c>
      <c r="AC55" s="81" t="b">
        <v>0</v>
      </c>
    </row>
    <row r="56">
      <c r="A56" s="26" t="s">
        <v>89</v>
      </c>
      <c r="B56" s="27"/>
      <c r="C56" s="28"/>
      <c r="D56" s="28"/>
      <c r="E56" s="29">
        <f t="shared" si="1"/>
        <v>0</v>
      </c>
      <c r="F56" s="27"/>
      <c r="G56" s="28"/>
      <c r="H56" s="28"/>
      <c r="I56" s="29">
        <f t="shared" si="2"/>
        <v>0</v>
      </c>
      <c r="J56" s="27"/>
      <c r="K56" s="28"/>
      <c r="L56" s="28"/>
      <c r="M56" s="29">
        <f t="shared" si="3"/>
        <v>0</v>
      </c>
      <c r="N56" s="30"/>
      <c r="O56" s="31"/>
      <c r="P56" s="31"/>
      <c r="Q56" s="23">
        <f t="shared" si="4"/>
        <v>0</v>
      </c>
      <c r="R56" s="30"/>
      <c r="S56" s="31"/>
      <c r="T56" s="64">
        <v>1.0</v>
      </c>
      <c r="U56" s="23">
        <f t="shared" si="5"/>
        <v>1</v>
      </c>
      <c r="V56" s="24">
        <f t="shared" si="6"/>
        <v>1</v>
      </c>
      <c r="W56" s="25" t="s">
        <v>20</v>
      </c>
      <c r="X56" s="49"/>
      <c r="Y56" s="76">
        <v>45242.0</v>
      </c>
      <c r="Z56" s="77"/>
      <c r="AA56" s="77"/>
      <c r="AB56" s="80" t="b">
        <v>0</v>
      </c>
      <c r="AC56" s="81" t="b">
        <v>0</v>
      </c>
    </row>
    <row r="57">
      <c r="A57" s="26" t="s">
        <v>90</v>
      </c>
      <c r="B57" s="27"/>
      <c r="C57" s="28"/>
      <c r="D57" s="28"/>
      <c r="E57" s="29">
        <f t="shared" si="1"/>
        <v>0</v>
      </c>
      <c r="F57" s="27"/>
      <c r="G57" s="28"/>
      <c r="H57" s="28"/>
      <c r="I57" s="29">
        <f t="shared" si="2"/>
        <v>0</v>
      </c>
      <c r="J57" s="27"/>
      <c r="K57" s="28"/>
      <c r="L57" s="28"/>
      <c r="M57" s="29">
        <f t="shared" si="3"/>
        <v>0</v>
      </c>
      <c r="N57" s="30"/>
      <c r="O57" s="31"/>
      <c r="P57" s="31"/>
      <c r="Q57" s="23">
        <f t="shared" si="4"/>
        <v>0</v>
      </c>
      <c r="R57" s="38">
        <v>1.0</v>
      </c>
      <c r="S57" s="31"/>
      <c r="T57" s="31"/>
      <c r="U57" s="23">
        <f t="shared" si="5"/>
        <v>1</v>
      </c>
      <c r="V57" s="24">
        <f t="shared" si="6"/>
        <v>1</v>
      </c>
      <c r="W57" s="25" t="s">
        <v>25</v>
      </c>
      <c r="X57" s="49"/>
      <c r="Y57" s="76">
        <v>45261.0</v>
      </c>
      <c r="Z57" s="77"/>
      <c r="AA57" s="77"/>
      <c r="AB57" s="80" t="b">
        <v>0</v>
      </c>
      <c r="AC57" s="81" t="b">
        <v>0</v>
      </c>
    </row>
    <row r="58">
      <c r="A58" s="26" t="s">
        <v>25</v>
      </c>
      <c r="B58" s="27"/>
      <c r="C58" s="28"/>
      <c r="D58" s="28"/>
      <c r="E58" s="29">
        <f t="shared" si="1"/>
        <v>0</v>
      </c>
      <c r="F58" s="27"/>
      <c r="G58" s="28"/>
      <c r="H58" s="28"/>
      <c r="I58" s="29">
        <f t="shared" si="2"/>
        <v>0</v>
      </c>
      <c r="J58" s="27"/>
      <c r="K58" s="28"/>
      <c r="L58" s="28"/>
      <c r="M58" s="29">
        <f t="shared" si="3"/>
        <v>0</v>
      </c>
      <c r="N58" s="30"/>
      <c r="O58" s="31"/>
      <c r="P58" s="31"/>
      <c r="Q58" s="23">
        <f t="shared" si="4"/>
        <v>0</v>
      </c>
      <c r="R58" s="30"/>
      <c r="S58" s="31"/>
      <c r="T58" s="64">
        <v>1.0</v>
      </c>
      <c r="U58" s="23">
        <f t="shared" si="5"/>
        <v>1</v>
      </c>
      <c r="V58" s="24">
        <f t="shared" si="6"/>
        <v>1</v>
      </c>
      <c r="W58" s="25" t="s">
        <v>8</v>
      </c>
      <c r="X58" s="49"/>
      <c r="Y58" s="76">
        <v>44928.0</v>
      </c>
      <c r="Z58" s="77"/>
      <c r="AA58" s="77"/>
      <c r="AB58" s="80" t="b">
        <v>0</v>
      </c>
      <c r="AC58" s="81" t="b">
        <v>0</v>
      </c>
    </row>
    <row r="59">
      <c r="A59" s="26" t="s">
        <v>91</v>
      </c>
      <c r="B59" s="27"/>
      <c r="C59" s="28"/>
      <c r="D59" s="28"/>
      <c r="E59" s="29">
        <f t="shared" si="1"/>
        <v>0</v>
      </c>
      <c r="F59" s="27"/>
      <c r="G59" s="28"/>
      <c r="H59" s="28"/>
      <c r="I59" s="29">
        <f t="shared" si="2"/>
        <v>0</v>
      </c>
      <c r="J59" s="27"/>
      <c r="K59" s="28"/>
      <c r="L59" s="28"/>
      <c r="M59" s="29">
        <f t="shared" si="3"/>
        <v>0</v>
      </c>
      <c r="N59" s="30"/>
      <c r="O59" s="31"/>
      <c r="P59" s="31"/>
      <c r="Q59" s="23">
        <f t="shared" si="4"/>
        <v>0</v>
      </c>
      <c r="R59" s="30"/>
      <c r="S59" s="31"/>
      <c r="T59" s="31"/>
      <c r="U59" s="23">
        <f t="shared" si="5"/>
        <v>0</v>
      </c>
      <c r="V59" s="24">
        <f t="shared" si="6"/>
        <v>0</v>
      </c>
      <c r="W59" s="25" t="s">
        <v>25</v>
      </c>
      <c r="X59" s="49"/>
      <c r="Y59" s="76">
        <v>44960.0</v>
      </c>
      <c r="Z59" s="77"/>
      <c r="AA59" s="77"/>
      <c r="AB59" s="80" t="b">
        <v>0</v>
      </c>
      <c r="AC59" s="81" t="b">
        <v>0</v>
      </c>
    </row>
    <row r="60">
      <c r="A60" s="86" t="s">
        <v>92</v>
      </c>
      <c r="B60" s="27"/>
      <c r="C60" s="28"/>
      <c r="D60" s="28"/>
      <c r="E60" s="29">
        <f t="shared" si="1"/>
        <v>0</v>
      </c>
      <c r="F60" s="27"/>
      <c r="G60" s="28"/>
      <c r="H60" s="28"/>
      <c r="I60" s="29">
        <f t="shared" si="2"/>
        <v>0</v>
      </c>
      <c r="J60" s="27"/>
      <c r="K60" s="28"/>
      <c r="L60" s="28"/>
      <c r="M60" s="29">
        <f t="shared" si="3"/>
        <v>0</v>
      </c>
      <c r="N60" s="38">
        <v>1.0</v>
      </c>
      <c r="O60" s="31"/>
      <c r="P60" s="31"/>
      <c r="Q60" s="23">
        <f t="shared" si="4"/>
        <v>1</v>
      </c>
      <c r="R60" s="30"/>
      <c r="S60" s="31"/>
      <c r="T60" s="64"/>
      <c r="U60" s="23">
        <f t="shared" si="5"/>
        <v>0</v>
      </c>
      <c r="V60" s="24">
        <f t="shared" si="6"/>
        <v>1</v>
      </c>
      <c r="W60" s="25" t="s">
        <v>8</v>
      </c>
      <c r="X60" s="49"/>
      <c r="Y60" s="76">
        <v>44989.0</v>
      </c>
      <c r="Z60" s="77"/>
      <c r="AA60" s="77"/>
      <c r="AB60" s="80" t="b">
        <v>0</v>
      </c>
      <c r="AC60" s="81" t="b">
        <v>0</v>
      </c>
    </row>
    <row r="61">
      <c r="A61" s="26" t="s">
        <v>93</v>
      </c>
      <c r="B61" s="27"/>
      <c r="C61" s="28"/>
      <c r="D61" s="28"/>
      <c r="E61" s="29">
        <f t="shared" si="1"/>
        <v>0</v>
      </c>
      <c r="F61" s="27"/>
      <c r="G61" s="28"/>
      <c r="H61" s="28"/>
      <c r="I61" s="29">
        <f t="shared" si="2"/>
        <v>0</v>
      </c>
      <c r="J61" s="27"/>
      <c r="K61" s="28"/>
      <c r="L61" s="28"/>
      <c r="M61" s="29">
        <f t="shared" si="3"/>
        <v>0</v>
      </c>
      <c r="N61" s="30"/>
      <c r="O61" s="31"/>
      <c r="P61" s="31"/>
      <c r="Q61" s="23">
        <f t="shared" si="4"/>
        <v>0</v>
      </c>
      <c r="R61" s="30"/>
      <c r="S61" s="31"/>
      <c r="T61" s="31"/>
      <c r="U61" s="23">
        <f t="shared" si="5"/>
        <v>0</v>
      </c>
      <c r="V61" s="24">
        <f t="shared" si="6"/>
        <v>0</v>
      </c>
      <c r="W61" s="25" t="s">
        <v>8</v>
      </c>
      <c r="X61" s="49"/>
      <c r="Y61" s="82"/>
      <c r="Z61" s="82"/>
      <c r="AA61" s="82"/>
      <c r="AB61" s="82"/>
      <c r="AC61" s="82"/>
    </row>
    <row r="62">
      <c r="A62" s="70" t="s">
        <v>94</v>
      </c>
      <c r="B62" s="27"/>
      <c r="C62" s="28"/>
      <c r="D62" s="28"/>
      <c r="E62" s="29">
        <f t="shared" si="1"/>
        <v>0</v>
      </c>
      <c r="F62" s="27"/>
      <c r="G62" s="28"/>
      <c r="H62" s="28"/>
      <c r="I62" s="29">
        <f t="shared" si="2"/>
        <v>0</v>
      </c>
      <c r="J62" s="27"/>
      <c r="K62" s="28"/>
      <c r="L62" s="28"/>
      <c r="M62" s="29">
        <f t="shared" si="3"/>
        <v>0</v>
      </c>
      <c r="N62" s="30"/>
      <c r="O62" s="31"/>
      <c r="P62" s="31"/>
      <c r="Q62" s="23">
        <f t="shared" si="4"/>
        <v>0</v>
      </c>
      <c r="R62" s="30"/>
      <c r="S62" s="31"/>
      <c r="T62" s="64">
        <v>1.0</v>
      </c>
      <c r="U62" s="23">
        <f t="shared" si="5"/>
        <v>1</v>
      </c>
      <c r="V62" s="24">
        <f t="shared" si="6"/>
        <v>1</v>
      </c>
      <c r="W62" s="25" t="s">
        <v>8</v>
      </c>
      <c r="X62" s="49"/>
      <c r="Y62" s="83" t="s">
        <v>95</v>
      </c>
      <c r="Z62" s="84"/>
      <c r="AA62" s="84"/>
      <c r="AB62" s="84"/>
      <c r="AC62" s="85"/>
    </row>
    <row r="63">
      <c r="A63" s="26" t="s">
        <v>96</v>
      </c>
      <c r="B63" s="27"/>
      <c r="C63" s="28"/>
      <c r="D63" s="28"/>
      <c r="E63" s="29">
        <f t="shared" si="1"/>
        <v>0</v>
      </c>
      <c r="F63" s="27"/>
      <c r="G63" s="28"/>
      <c r="H63" s="28"/>
      <c r="I63" s="29">
        <f t="shared" si="2"/>
        <v>0</v>
      </c>
      <c r="J63" s="27"/>
      <c r="K63" s="28"/>
      <c r="L63" s="28"/>
      <c r="M63" s="29">
        <f t="shared" si="3"/>
        <v>0</v>
      </c>
      <c r="N63" s="30"/>
      <c r="O63" s="31"/>
      <c r="P63" s="31"/>
      <c r="Q63" s="23">
        <f t="shared" si="4"/>
        <v>0</v>
      </c>
      <c r="R63" s="30"/>
      <c r="S63" s="31"/>
      <c r="T63" s="64">
        <v>1.0</v>
      </c>
      <c r="U63" s="23">
        <f t="shared" si="5"/>
        <v>1</v>
      </c>
      <c r="V63" s="24">
        <f t="shared" si="6"/>
        <v>1</v>
      </c>
      <c r="W63" s="25" t="s">
        <v>8</v>
      </c>
      <c r="X63" s="49"/>
      <c r="Y63" s="74" t="s">
        <v>49</v>
      </c>
      <c r="Z63" s="87" t="s">
        <v>50</v>
      </c>
      <c r="AA63" s="87" t="s">
        <v>51</v>
      </c>
      <c r="AB63" s="87" t="s">
        <v>2</v>
      </c>
      <c r="AC63" s="87" t="s">
        <v>41</v>
      </c>
    </row>
    <row r="64">
      <c r="A64" s="88" t="s">
        <v>97</v>
      </c>
      <c r="B64" s="27"/>
      <c r="C64" s="28"/>
      <c r="D64" s="28"/>
      <c r="E64" s="29">
        <f t="shared" si="1"/>
        <v>0</v>
      </c>
      <c r="F64" s="27"/>
      <c r="G64" s="28"/>
      <c r="H64" s="28"/>
      <c r="I64" s="29">
        <f t="shared" si="2"/>
        <v>0</v>
      </c>
      <c r="J64" s="27"/>
      <c r="K64" s="28"/>
      <c r="L64" s="28"/>
      <c r="M64" s="29">
        <f t="shared" si="3"/>
        <v>0</v>
      </c>
      <c r="N64" s="30"/>
      <c r="O64" s="31"/>
      <c r="P64" s="31"/>
      <c r="Q64" s="23">
        <f t="shared" si="4"/>
        <v>0</v>
      </c>
      <c r="R64" s="30"/>
      <c r="S64" s="31"/>
      <c r="T64" s="31"/>
      <c r="U64" s="23">
        <f t="shared" si="5"/>
        <v>0</v>
      </c>
      <c r="V64" s="24">
        <f t="shared" si="6"/>
        <v>0</v>
      </c>
      <c r="W64" s="25" t="s">
        <v>8</v>
      </c>
      <c r="X64" s="49"/>
      <c r="Y64" s="89">
        <v>45179.0</v>
      </c>
      <c r="Z64" s="90"/>
      <c r="AA64" s="90"/>
      <c r="AB64" s="78" t="b">
        <v>0</v>
      </c>
      <c r="AC64" s="79" t="b">
        <v>0</v>
      </c>
    </row>
    <row r="65">
      <c r="A65" s="26" t="s">
        <v>98</v>
      </c>
      <c r="B65" s="27"/>
      <c r="C65" s="28"/>
      <c r="D65" s="28"/>
      <c r="E65" s="29">
        <f t="shared" si="1"/>
        <v>0</v>
      </c>
      <c r="F65" s="27"/>
      <c r="G65" s="28"/>
      <c r="H65" s="28"/>
      <c r="I65" s="29">
        <f t="shared" si="2"/>
        <v>0</v>
      </c>
      <c r="J65" s="27"/>
      <c r="K65" s="28"/>
      <c r="L65" s="28"/>
      <c r="M65" s="29">
        <f t="shared" si="3"/>
        <v>0</v>
      </c>
      <c r="N65" s="30"/>
      <c r="O65" s="31"/>
      <c r="P65" s="31"/>
      <c r="Q65" s="23">
        <f t="shared" si="4"/>
        <v>0</v>
      </c>
      <c r="R65" s="30"/>
      <c r="S65" s="31"/>
      <c r="T65" s="31"/>
      <c r="U65" s="23">
        <f t="shared" si="5"/>
        <v>0</v>
      </c>
      <c r="V65" s="24">
        <f t="shared" si="6"/>
        <v>0</v>
      </c>
      <c r="W65" s="25" t="s">
        <v>22</v>
      </c>
      <c r="X65" s="49"/>
      <c r="Y65" s="89">
        <v>45210.0</v>
      </c>
      <c r="Z65" s="91"/>
      <c r="AA65" s="91"/>
      <c r="AB65" s="80" t="b">
        <v>0</v>
      </c>
      <c r="AC65" s="81" t="b">
        <v>0</v>
      </c>
    </row>
    <row r="66">
      <c r="A66" s="26" t="s">
        <v>99</v>
      </c>
      <c r="B66" s="27"/>
      <c r="C66" s="28"/>
      <c r="D66" s="28"/>
      <c r="E66" s="29">
        <f t="shared" si="1"/>
        <v>0</v>
      </c>
      <c r="F66" s="27"/>
      <c r="G66" s="28"/>
      <c r="H66" s="28"/>
      <c r="I66" s="29">
        <f t="shared" si="2"/>
        <v>0</v>
      </c>
      <c r="J66" s="27"/>
      <c r="K66" s="28"/>
      <c r="L66" s="28"/>
      <c r="M66" s="29">
        <f t="shared" si="3"/>
        <v>0</v>
      </c>
      <c r="N66" s="30"/>
      <c r="O66" s="31"/>
      <c r="P66" s="31"/>
      <c r="Q66" s="23">
        <f t="shared" si="4"/>
        <v>0</v>
      </c>
      <c r="R66" s="38">
        <v>1.0</v>
      </c>
      <c r="S66" s="31"/>
      <c r="T66" s="31"/>
      <c r="U66" s="23">
        <f t="shared" si="5"/>
        <v>1</v>
      </c>
      <c r="V66" s="24">
        <f t="shared" si="6"/>
        <v>1</v>
      </c>
      <c r="W66" s="25" t="s">
        <v>8</v>
      </c>
      <c r="X66" s="49"/>
      <c r="Y66" s="89">
        <v>45242.0</v>
      </c>
      <c r="Z66" s="91"/>
      <c r="AA66" s="91"/>
      <c r="AB66" s="80" t="b">
        <v>0</v>
      </c>
      <c r="AC66" s="81" t="b">
        <v>0</v>
      </c>
    </row>
    <row r="67">
      <c r="A67" s="26" t="s">
        <v>100</v>
      </c>
      <c r="B67" s="27"/>
      <c r="C67" s="28"/>
      <c r="D67" s="28"/>
      <c r="E67" s="29">
        <f t="shared" si="1"/>
        <v>0</v>
      </c>
      <c r="F67" s="27"/>
      <c r="G67" s="28"/>
      <c r="H67" s="28"/>
      <c r="I67" s="29">
        <f t="shared" si="2"/>
        <v>0</v>
      </c>
      <c r="J67" s="27"/>
      <c r="K67" s="28"/>
      <c r="L67" s="28"/>
      <c r="M67" s="29">
        <f t="shared" si="3"/>
        <v>0</v>
      </c>
      <c r="N67" s="30"/>
      <c r="O67" s="31"/>
      <c r="P67" s="31"/>
      <c r="Q67" s="23">
        <f t="shared" si="4"/>
        <v>0</v>
      </c>
      <c r="R67" s="30"/>
      <c r="S67" s="31"/>
      <c r="T67" s="31"/>
      <c r="U67" s="23">
        <f t="shared" si="5"/>
        <v>0</v>
      </c>
      <c r="V67" s="24">
        <f t="shared" si="6"/>
        <v>0</v>
      </c>
      <c r="W67" s="25" t="s">
        <v>22</v>
      </c>
      <c r="X67" s="25"/>
      <c r="Y67" s="89">
        <v>45261.0</v>
      </c>
      <c r="Z67" s="91"/>
      <c r="AA67" s="91"/>
      <c r="AB67" s="80" t="b">
        <v>0</v>
      </c>
      <c r="AC67" s="81" t="b">
        <v>0</v>
      </c>
    </row>
    <row r="68">
      <c r="A68" s="26" t="s">
        <v>101</v>
      </c>
      <c r="B68" s="27"/>
      <c r="C68" s="28"/>
      <c r="D68" s="28"/>
      <c r="E68" s="29">
        <f t="shared" si="1"/>
        <v>0</v>
      </c>
      <c r="F68" s="27"/>
      <c r="G68" s="28"/>
      <c r="H68" s="28"/>
      <c r="I68" s="29">
        <f t="shared" si="2"/>
        <v>0</v>
      </c>
      <c r="J68" s="27"/>
      <c r="K68" s="28"/>
      <c r="L68" s="28"/>
      <c r="M68" s="29">
        <f t="shared" si="3"/>
        <v>0</v>
      </c>
      <c r="N68" s="30"/>
      <c r="O68" s="31"/>
      <c r="P68" s="64">
        <v>1.0</v>
      </c>
      <c r="Q68" s="23">
        <f t="shared" si="4"/>
        <v>1</v>
      </c>
      <c r="R68" s="30"/>
      <c r="S68" s="31"/>
      <c r="T68" s="31"/>
      <c r="U68" s="23">
        <f t="shared" si="5"/>
        <v>0</v>
      </c>
      <c r="V68" s="24">
        <f t="shared" si="6"/>
        <v>1</v>
      </c>
      <c r="W68" s="25" t="s">
        <v>8</v>
      </c>
      <c r="X68" s="49"/>
      <c r="Y68" s="89">
        <v>44928.0</v>
      </c>
      <c r="Z68" s="91"/>
      <c r="AA68" s="91"/>
      <c r="AB68" s="80" t="b">
        <v>0</v>
      </c>
      <c r="AC68" s="81" t="b">
        <v>0</v>
      </c>
    </row>
    <row r="69">
      <c r="A69" s="26" t="s">
        <v>102</v>
      </c>
      <c r="B69" s="27"/>
      <c r="C69" s="28"/>
      <c r="D69" s="28"/>
      <c r="E69" s="29">
        <f t="shared" si="1"/>
        <v>0</v>
      </c>
      <c r="F69" s="27"/>
      <c r="G69" s="28"/>
      <c r="H69" s="28"/>
      <c r="I69" s="29">
        <f t="shared" si="2"/>
        <v>0</v>
      </c>
      <c r="J69" s="27"/>
      <c r="K69" s="28"/>
      <c r="L69" s="28"/>
      <c r="M69" s="29">
        <f t="shared" si="3"/>
        <v>0</v>
      </c>
      <c r="N69" s="38">
        <v>1.0</v>
      </c>
      <c r="O69" s="31"/>
      <c r="P69" s="31"/>
      <c r="Q69" s="23">
        <f t="shared" si="4"/>
        <v>1</v>
      </c>
      <c r="R69" s="30"/>
      <c r="S69" s="31"/>
      <c r="T69" s="31"/>
      <c r="U69" s="23">
        <f t="shared" si="5"/>
        <v>0</v>
      </c>
      <c r="V69" s="24">
        <f t="shared" si="6"/>
        <v>1</v>
      </c>
      <c r="W69" s="25" t="s">
        <v>22</v>
      </c>
      <c r="X69" s="49"/>
      <c r="Y69" s="89">
        <v>44960.0</v>
      </c>
      <c r="Z69" s="91"/>
      <c r="AA69" s="91"/>
      <c r="AB69" s="80" t="b">
        <v>0</v>
      </c>
      <c r="AC69" s="81" t="b">
        <v>0</v>
      </c>
    </row>
    <row r="70">
      <c r="A70" s="26" t="s">
        <v>103</v>
      </c>
      <c r="B70" s="27"/>
      <c r="C70" s="28"/>
      <c r="D70" s="28"/>
      <c r="E70" s="29">
        <f t="shared" si="1"/>
        <v>0</v>
      </c>
      <c r="F70" s="27"/>
      <c r="G70" s="28"/>
      <c r="H70" s="28"/>
      <c r="I70" s="29">
        <f t="shared" si="2"/>
        <v>0</v>
      </c>
      <c r="J70" s="27"/>
      <c r="K70" s="28"/>
      <c r="L70" s="28"/>
      <c r="M70" s="29">
        <f t="shared" si="3"/>
        <v>0</v>
      </c>
      <c r="N70" s="30"/>
      <c r="O70" s="31"/>
      <c r="P70" s="31"/>
      <c r="Q70" s="23">
        <f t="shared" si="4"/>
        <v>0</v>
      </c>
      <c r="R70" s="30"/>
      <c r="S70" s="31"/>
      <c r="T70" s="31"/>
      <c r="U70" s="23">
        <f t="shared" si="5"/>
        <v>0</v>
      </c>
      <c r="V70" s="24">
        <f t="shared" si="6"/>
        <v>0</v>
      </c>
      <c r="W70" s="25" t="s">
        <v>8</v>
      </c>
      <c r="X70" s="49"/>
      <c r="Y70" s="89">
        <v>44989.0</v>
      </c>
      <c r="Z70" s="91"/>
      <c r="AA70" s="91"/>
      <c r="AB70" s="80" t="b">
        <v>0</v>
      </c>
      <c r="AC70" s="81" t="b">
        <v>0</v>
      </c>
    </row>
    <row r="71">
      <c r="A71" s="26" t="s">
        <v>104</v>
      </c>
      <c r="B71" s="27"/>
      <c r="C71" s="28"/>
      <c r="D71" s="28"/>
      <c r="E71" s="29">
        <f t="shared" si="1"/>
        <v>0</v>
      </c>
      <c r="F71" s="27"/>
      <c r="G71" s="28"/>
      <c r="H71" s="28"/>
      <c r="I71" s="29">
        <f t="shared" si="2"/>
        <v>0</v>
      </c>
      <c r="J71" s="27"/>
      <c r="K71" s="28"/>
      <c r="L71" s="28"/>
      <c r="M71" s="29">
        <f t="shared" si="3"/>
        <v>0</v>
      </c>
      <c r="N71" s="30"/>
      <c r="O71" s="31"/>
      <c r="P71" s="31"/>
      <c r="Q71" s="23">
        <f t="shared" si="4"/>
        <v>0</v>
      </c>
      <c r="R71" s="30"/>
      <c r="S71" s="31"/>
      <c r="T71" s="31"/>
      <c r="U71" s="23">
        <f t="shared" si="5"/>
        <v>0</v>
      </c>
      <c r="V71" s="24">
        <f t="shared" si="6"/>
        <v>0</v>
      </c>
      <c r="W71" s="25" t="s">
        <v>23</v>
      </c>
      <c r="X71" s="49"/>
      <c r="Y71" s="49"/>
      <c r="Z71" s="49"/>
      <c r="AA71" s="49"/>
      <c r="AB71" s="49"/>
      <c r="AC71" s="49"/>
    </row>
    <row r="72">
      <c r="A72" s="26" t="s">
        <v>105</v>
      </c>
      <c r="B72" s="27"/>
      <c r="C72" s="28"/>
      <c r="D72" s="28"/>
      <c r="E72" s="29">
        <f t="shared" si="1"/>
        <v>0</v>
      </c>
      <c r="F72" s="27"/>
      <c r="G72" s="28"/>
      <c r="H72" s="28"/>
      <c r="I72" s="29">
        <f t="shared" si="2"/>
        <v>0</v>
      </c>
      <c r="J72" s="27"/>
      <c r="K72" s="28"/>
      <c r="L72" s="28"/>
      <c r="M72" s="29">
        <f t="shared" si="3"/>
        <v>0</v>
      </c>
      <c r="N72" s="30"/>
      <c r="O72" s="31"/>
      <c r="P72" s="31"/>
      <c r="Q72" s="23">
        <f t="shared" si="4"/>
        <v>0</v>
      </c>
      <c r="R72" s="30"/>
      <c r="S72" s="31"/>
      <c r="T72" s="31"/>
      <c r="U72" s="23">
        <f t="shared" si="5"/>
        <v>0</v>
      </c>
      <c r="V72" s="24">
        <f t="shared" si="6"/>
        <v>0</v>
      </c>
      <c r="W72" s="25" t="s">
        <v>23</v>
      </c>
      <c r="X72" s="25"/>
    </row>
    <row r="73">
      <c r="A73" s="26" t="s">
        <v>106</v>
      </c>
      <c r="B73" s="27"/>
      <c r="C73" s="28"/>
      <c r="D73" s="28"/>
      <c r="E73" s="29">
        <f t="shared" si="1"/>
        <v>0</v>
      </c>
      <c r="F73" s="27"/>
      <c r="G73" s="28"/>
      <c r="H73" s="28"/>
      <c r="I73" s="29">
        <f t="shared" si="2"/>
        <v>0</v>
      </c>
      <c r="J73" s="27"/>
      <c r="K73" s="28"/>
      <c r="L73" s="28"/>
      <c r="M73" s="29">
        <f t="shared" si="3"/>
        <v>0</v>
      </c>
      <c r="N73" s="30"/>
      <c r="O73" s="31"/>
      <c r="P73" s="31"/>
      <c r="Q73" s="23">
        <f t="shared" si="4"/>
        <v>0</v>
      </c>
      <c r="R73" s="30"/>
      <c r="S73" s="31"/>
      <c r="T73" s="31"/>
      <c r="U73" s="23">
        <f t="shared" si="5"/>
        <v>0</v>
      </c>
      <c r="V73" s="24">
        <f t="shared" si="6"/>
        <v>0</v>
      </c>
      <c r="W73" s="25" t="s">
        <v>8</v>
      </c>
      <c r="X73" s="49"/>
    </row>
    <row r="74">
      <c r="A74" s="26" t="s">
        <v>107</v>
      </c>
      <c r="B74" s="27"/>
      <c r="C74" s="28"/>
      <c r="D74" s="28"/>
      <c r="E74" s="29">
        <f t="shared" si="1"/>
        <v>0</v>
      </c>
      <c r="F74" s="27"/>
      <c r="G74" s="28"/>
      <c r="H74" s="28"/>
      <c r="I74" s="29">
        <f t="shared" si="2"/>
        <v>0</v>
      </c>
      <c r="J74" s="27"/>
      <c r="K74" s="28"/>
      <c r="L74" s="28"/>
      <c r="M74" s="29">
        <f t="shared" si="3"/>
        <v>0</v>
      </c>
      <c r="N74" s="30"/>
      <c r="O74" s="31"/>
      <c r="P74" s="31"/>
      <c r="Q74" s="23">
        <f t="shared" si="4"/>
        <v>0</v>
      </c>
      <c r="R74" s="30"/>
      <c r="S74" s="31"/>
      <c r="T74" s="64">
        <v>2.0</v>
      </c>
      <c r="U74" s="23">
        <f t="shared" si="5"/>
        <v>2</v>
      </c>
      <c r="V74" s="24">
        <f t="shared" si="6"/>
        <v>2</v>
      </c>
      <c r="W74" s="25" t="s">
        <v>25</v>
      </c>
      <c r="X74" s="49"/>
      <c r="Y74" s="92"/>
      <c r="Z74" s="92"/>
      <c r="AA74" s="92"/>
      <c r="AB74" s="92"/>
      <c r="AC74" s="92"/>
    </row>
    <row r="75">
      <c r="A75" s="70" t="s">
        <v>108</v>
      </c>
      <c r="B75" s="27"/>
      <c r="C75" s="28"/>
      <c r="D75" s="28"/>
      <c r="E75" s="29">
        <f t="shared" si="1"/>
        <v>0</v>
      </c>
      <c r="F75" s="27"/>
      <c r="G75" s="28"/>
      <c r="H75" s="28"/>
      <c r="I75" s="29">
        <f t="shared" si="2"/>
        <v>0</v>
      </c>
      <c r="J75" s="27"/>
      <c r="K75" s="28"/>
      <c r="L75" s="28"/>
      <c r="M75" s="29">
        <f t="shared" si="3"/>
        <v>0</v>
      </c>
      <c r="N75" s="30"/>
      <c r="O75" s="31"/>
      <c r="P75" s="31"/>
      <c r="Q75" s="23">
        <f t="shared" si="4"/>
        <v>0</v>
      </c>
      <c r="R75" s="30"/>
      <c r="S75" s="31"/>
      <c r="T75" s="31"/>
      <c r="U75" s="23">
        <f t="shared" si="5"/>
        <v>0</v>
      </c>
      <c r="V75" s="24">
        <f t="shared" si="6"/>
        <v>0</v>
      </c>
      <c r="W75" s="25" t="s">
        <v>22</v>
      </c>
      <c r="X75" s="49"/>
      <c r="Y75" s="92"/>
      <c r="Z75" s="92"/>
      <c r="AA75" s="93"/>
      <c r="AB75" s="49"/>
      <c r="AC75" s="49"/>
    </row>
    <row r="76">
      <c r="A76" s="26" t="s">
        <v>109</v>
      </c>
      <c r="B76" s="27"/>
      <c r="C76" s="28"/>
      <c r="D76" s="28"/>
      <c r="E76" s="29">
        <f t="shared" si="1"/>
        <v>0</v>
      </c>
      <c r="F76" s="27"/>
      <c r="G76" s="28"/>
      <c r="H76" s="28"/>
      <c r="I76" s="29">
        <f t="shared" si="2"/>
        <v>0</v>
      </c>
      <c r="J76" s="27"/>
      <c r="K76" s="28"/>
      <c r="L76" s="28"/>
      <c r="M76" s="29">
        <f t="shared" si="3"/>
        <v>0</v>
      </c>
      <c r="N76" s="30"/>
      <c r="O76" s="31"/>
      <c r="P76" s="31"/>
      <c r="Q76" s="23">
        <f t="shared" si="4"/>
        <v>0</v>
      </c>
      <c r="R76" s="30"/>
      <c r="S76" s="31"/>
      <c r="T76" s="31"/>
      <c r="U76" s="23">
        <f t="shared" si="5"/>
        <v>0</v>
      </c>
      <c r="V76" s="24">
        <f t="shared" si="6"/>
        <v>0</v>
      </c>
      <c r="W76" s="25" t="s">
        <v>23</v>
      </c>
      <c r="X76" s="49"/>
      <c r="Y76" s="92"/>
      <c r="Z76" s="92"/>
      <c r="AA76" s="92"/>
      <c r="AB76" s="49"/>
      <c r="AC76" s="49"/>
    </row>
    <row r="77">
      <c r="A77" s="26" t="s">
        <v>110</v>
      </c>
      <c r="B77" s="27"/>
      <c r="C77" s="28"/>
      <c r="D77" s="28"/>
      <c r="E77" s="29">
        <f t="shared" si="1"/>
        <v>0</v>
      </c>
      <c r="F77" s="27"/>
      <c r="G77" s="28"/>
      <c r="H77" s="28"/>
      <c r="I77" s="29">
        <f t="shared" si="2"/>
        <v>0</v>
      </c>
      <c r="J77" s="27"/>
      <c r="K77" s="28"/>
      <c r="L77" s="28"/>
      <c r="M77" s="29">
        <f t="shared" si="3"/>
        <v>0</v>
      </c>
      <c r="N77" s="30"/>
      <c r="O77" s="31"/>
      <c r="P77" s="31"/>
      <c r="Q77" s="23">
        <f t="shared" si="4"/>
        <v>0</v>
      </c>
      <c r="R77" s="30"/>
      <c r="S77" s="31"/>
      <c r="T77" s="31"/>
      <c r="U77" s="23">
        <f t="shared" si="5"/>
        <v>0</v>
      </c>
      <c r="V77" s="24">
        <f t="shared" si="6"/>
        <v>0</v>
      </c>
      <c r="W77" s="25" t="s">
        <v>22</v>
      </c>
      <c r="X77" s="49"/>
      <c r="Y77" s="92"/>
      <c r="Z77" s="92"/>
      <c r="AA77" s="92"/>
      <c r="AB77" s="49"/>
      <c r="AC77" s="49"/>
    </row>
    <row r="78">
      <c r="A78" s="94" t="s">
        <v>111</v>
      </c>
      <c r="B78" s="27"/>
      <c r="C78" s="28"/>
      <c r="D78" s="28"/>
      <c r="E78" s="29">
        <f t="shared" si="1"/>
        <v>0</v>
      </c>
      <c r="F78" s="27"/>
      <c r="G78" s="28"/>
      <c r="H78" s="28"/>
      <c r="I78" s="29">
        <f t="shared" si="2"/>
        <v>0</v>
      </c>
      <c r="J78" s="27"/>
      <c r="K78" s="28"/>
      <c r="L78" s="28"/>
      <c r="M78" s="29">
        <f t="shared" si="3"/>
        <v>0</v>
      </c>
      <c r="N78" s="30"/>
      <c r="O78" s="31"/>
      <c r="P78" s="31"/>
      <c r="Q78" s="23">
        <f t="shared" si="4"/>
        <v>0</v>
      </c>
      <c r="R78" s="30"/>
      <c r="S78" s="31"/>
      <c r="T78" s="31"/>
      <c r="U78" s="23">
        <f t="shared" si="5"/>
        <v>0</v>
      </c>
      <c r="V78" s="24">
        <f t="shared" si="6"/>
        <v>0</v>
      </c>
      <c r="W78" s="25" t="s">
        <v>22</v>
      </c>
      <c r="X78" s="49"/>
      <c r="Y78" s="92"/>
      <c r="Z78" s="92"/>
      <c r="AA78" s="92"/>
      <c r="AB78" s="49"/>
      <c r="AC78" s="49"/>
    </row>
    <row r="79">
      <c r="A79" s="95" t="s">
        <v>112</v>
      </c>
      <c r="B79" s="27"/>
      <c r="C79" s="28"/>
      <c r="D79" s="28"/>
      <c r="E79" s="29">
        <f t="shared" si="1"/>
        <v>0</v>
      </c>
      <c r="F79" s="27"/>
      <c r="G79" s="28"/>
      <c r="H79" s="28"/>
      <c r="I79" s="29">
        <f t="shared" si="2"/>
        <v>0</v>
      </c>
      <c r="J79" s="27"/>
      <c r="K79" s="28"/>
      <c r="L79" s="28"/>
      <c r="M79" s="29">
        <f t="shared" si="3"/>
        <v>0</v>
      </c>
      <c r="N79" s="96"/>
      <c r="O79" s="97"/>
      <c r="P79" s="97"/>
      <c r="Q79" s="23">
        <f t="shared" si="4"/>
        <v>0</v>
      </c>
      <c r="R79" s="96"/>
      <c r="S79" s="97"/>
      <c r="T79" s="97"/>
      <c r="U79" s="23">
        <f t="shared" si="5"/>
        <v>0</v>
      </c>
      <c r="V79" s="24">
        <f t="shared" si="6"/>
        <v>0</v>
      </c>
      <c r="W79" s="25" t="s">
        <v>8</v>
      </c>
      <c r="X79" s="49"/>
      <c r="Y79" s="92"/>
      <c r="Z79" s="92"/>
      <c r="AA79" s="92"/>
      <c r="AB79" s="49"/>
      <c r="AC79" s="49"/>
    </row>
    <row r="80" ht="17.25" customHeight="1">
      <c r="A80" s="95" t="s">
        <v>113</v>
      </c>
      <c r="B80" s="27"/>
      <c r="C80" s="28"/>
      <c r="D80" s="28"/>
      <c r="E80" s="29">
        <f t="shared" si="1"/>
        <v>0</v>
      </c>
      <c r="F80" s="27"/>
      <c r="G80" s="28"/>
      <c r="H80" s="28"/>
      <c r="I80" s="29">
        <f t="shared" si="2"/>
        <v>0</v>
      </c>
      <c r="J80" s="27"/>
      <c r="K80" s="28"/>
      <c r="L80" s="28"/>
      <c r="M80" s="29">
        <f t="shared" si="3"/>
        <v>0</v>
      </c>
      <c r="N80" s="98">
        <v>1.0</v>
      </c>
      <c r="O80" s="97"/>
      <c r="P80" s="97"/>
      <c r="Q80" s="23">
        <f t="shared" si="4"/>
        <v>1</v>
      </c>
      <c r="R80" s="96"/>
      <c r="S80" s="97"/>
      <c r="T80" s="97"/>
      <c r="U80" s="23">
        <f t="shared" si="5"/>
        <v>0</v>
      </c>
      <c r="V80" s="24">
        <f t="shared" si="6"/>
        <v>1</v>
      </c>
      <c r="W80" s="25" t="s">
        <v>22</v>
      </c>
      <c r="X80" s="49"/>
      <c r="Y80" s="49"/>
      <c r="Z80" s="49"/>
    </row>
    <row r="81" ht="18.0" customHeight="1">
      <c r="A81" s="95" t="s">
        <v>114</v>
      </c>
      <c r="B81" s="27"/>
      <c r="C81" s="28"/>
      <c r="D81" s="28"/>
      <c r="E81" s="29">
        <f t="shared" si="1"/>
        <v>0</v>
      </c>
      <c r="F81" s="27"/>
      <c r="G81" s="28"/>
      <c r="H81" s="28"/>
      <c r="I81" s="29">
        <f t="shared" si="2"/>
        <v>0</v>
      </c>
      <c r="J81" s="27"/>
      <c r="K81" s="28"/>
      <c r="L81" s="28"/>
      <c r="M81" s="29">
        <f t="shared" si="3"/>
        <v>0</v>
      </c>
      <c r="N81" s="98"/>
      <c r="O81" s="97"/>
      <c r="P81" s="99">
        <v>1.0</v>
      </c>
      <c r="Q81" s="23">
        <f t="shared" si="4"/>
        <v>1</v>
      </c>
      <c r="R81" s="96"/>
      <c r="S81" s="97"/>
      <c r="T81" s="99">
        <v>1.0</v>
      </c>
      <c r="U81" s="23">
        <f t="shared" si="5"/>
        <v>1</v>
      </c>
      <c r="V81" s="24">
        <f t="shared" si="6"/>
        <v>2</v>
      </c>
      <c r="W81" s="25" t="s">
        <v>8</v>
      </c>
      <c r="X81" s="49"/>
      <c r="Z81" s="49"/>
    </row>
    <row r="82">
      <c r="A82" s="95" t="s">
        <v>115</v>
      </c>
      <c r="B82" s="27"/>
      <c r="C82" s="28"/>
      <c r="D82" s="28"/>
      <c r="E82" s="29">
        <f t="shared" si="1"/>
        <v>0</v>
      </c>
      <c r="F82" s="27"/>
      <c r="G82" s="28"/>
      <c r="H82" s="28"/>
      <c r="I82" s="29">
        <f t="shared" si="2"/>
        <v>0</v>
      </c>
      <c r="J82" s="27"/>
      <c r="K82" s="28"/>
      <c r="L82" s="28"/>
      <c r="M82" s="29">
        <f t="shared" si="3"/>
        <v>0</v>
      </c>
      <c r="N82" s="96"/>
      <c r="O82" s="97"/>
      <c r="P82" s="97"/>
      <c r="Q82" s="23">
        <f t="shared" si="4"/>
        <v>0</v>
      </c>
      <c r="R82" s="96"/>
      <c r="S82" s="97"/>
      <c r="T82" s="97"/>
      <c r="U82" s="23">
        <f t="shared" si="5"/>
        <v>0</v>
      </c>
      <c r="V82" s="24">
        <f t="shared" si="6"/>
        <v>0</v>
      </c>
      <c r="W82" s="25" t="s">
        <v>8</v>
      </c>
    </row>
    <row r="83">
      <c r="A83" s="95" t="s">
        <v>116</v>
      </c>
      <c r="B83" s="27"/>
      <c r="C83" s="28"/>
      <c r="D83" s="28"/>
      <c r="E83" s="29">
        <f t="shared" si="1"/>
        <v>0</v>
      </c>
      <c r="F83" s="27"/>
      <c r="G83" s="28"/>
      <c r="H83" s="28"/>
      <c r="I83" s="29">
        <f t="shared" si="2"/>
        <v>0</v>
      </c>
      <c r="J83" s="27"/>
      <c r="K83" s="28"/>
      <c r="L83" s="28"/>
      <c r="M83" s="29">
        <f t="shared" si="3"/>
        <v>0</v>
      </c>
      <c r="N83" s="96"/>
      <c r="O83" s="97"/>
      <c r="P83" s="97"/>
      <c r="Q83" s="23">
        <f t="shared" si="4"/>
        <v>0</v>
      </c>
      <c r="R83" s="96"/>
      <c r="S83" s="97"/>
      <c r="T83" s="97"/>
      <c r="U83" s="23">
        <f t="shared" si="5"/>
        <v>0</v>
      </c>
      <c r="V83" s="24">
        <f t="shared" si="6"/>
        <v>0</v>
      </c>
      <c r="W83" s="25" t="s">
        <v>8</v>
      </c>
    </row>
    <row r="84">
      <c r="A84" s="95" t="s">
        <v>117</v>
      </c>
      <c r="B84" s="63"/>
      <c r="C84" s="28"/>
      <c r="D84" s="28"/>
      <c r="E84" s="29">
        <f t="shared" si="1"/>
        <v>0</v>
      </c>
      <c r="F84" s="27"/>
      <c r="G84" s="28"/>
      <c r="H84" s="28"/>
      <c r="I84" s="29">
        <f t="shared" si="2"/>
        <v>0</v>
      </c>
      <c r="J84" s="27"/>
      <c r="K84" s="28"/>
      <c r="L84" s="28"/>
      <c r="M84" s="29">
        <f t="shared" si="3"/>
        <v>0</v>
      </c>
      <c r="N84" s="96"/>
      <c r="O84" s="97"/>
      <c r="P84" s="97"/>
      <c r="Q84" s="23">
        <f t="shared" si="4"/>
        <v>0</v>
      </c>
      <c r="R84" s="96"/>
      <c r="S84" s="97"/>
      <c r="T84" s="97"/>
      <c r="U84" s="23">
        <f t="shared" si="5"/>
        <v>0</v>
      </c>
      <c r="V84" s="24">
        <f t="shared" si="6"/>
        <v>0</v>
      </c>
      <c r="W84" s="25" t="s">
        <v>8</v>
      </c>
    </row>
    <row r="85">
      <c r="A85" s="100" t="s">
        <v>118</v>
      </c>
      <c r="B85" s="101">
        <f t="shared" ref="B85:D85" si="9">sum(B4:B84)</f>
        <v>0</v>
      </c>
      <c r="C85" s="102">
        <f t="shared" si="9"/>
        <v>0</v>
      </c>
      <c r="D85" s="102">
        <f t="shared" si="9"/>
        <v>0</v>
      </c>
      <c r="E85" s="103"/>
      <c r="F85" s="101">
        <f t="shared" ref="F85:H85" si="10">sum(F4:F84)</f>
        <v>0</v>
      </c>
      <c r="G85" s="102">
        <f t="shared" si="10"/>
        <v>0</v>
      </c>
      <c r="H85" s="102">
        <f t="shared" si="10"/>
        <v>0</v>
      </c>
      <c r="I85" s="103"/>
      <c r="J85" s="101">
        <f t="shared" ref="J85:L85" si="11">sum(J4:J84)</f>
        <v>0</v>
      </c>
      <c r="K85" s="102">
        <f t="shared" si="11"/>
        <v>0</v>
      </c>
      <c r="L85" s="102">
        <f t="shared" si="11"/>
        <v>0</v>
      </c>
      <c r="M85" s="103"/>
      <c r="N85" s="104">
        <f t="shared" ref="N85:P85" si="12">sum(N4:N84)</f>
        <v>5</v>
      </c>
      <c r="O85" s="104">
        <f t="shared" si="12"/>
        <v>0</v>
      </c>
      <c r="P85" s="104">
        <f t="shared" si="12"/>
        <v>11</v>
      </c>
      <c r="Q85" s="105"/>
      <c r="R85" s="104">
        <f t="shared" ref="R85:T85" si="13">sum(R4:R84)</f>
        <v>6</v>
      </c>
      <c r="S85" s="104">
        <f t="shared" si="13"/>
        <v>0</v>
      </c>
      <c r="T85" s="104">
        <f t="shared" si="13"/>
        <v>14</v>
      </c>
      <c r="U85" s="105"/>
    </row>
    <row r="86">
      <c r="A86" s="106" t="s">
        <v>119</v>
      </c>
      <c r="B86" s="107"/>
      <c r="C86" s="108"/>
      <c r="D86" s="108"/>
      <c r="E86" s="109"/>
      <c r="F86" s="107"/>
      <c r="G86" s="108"/>
      <c r="H86" s="108"/>
      <c r="I86" s="109"/>
      <c r="J86" s="107"/>
      <c r="K86" s="108"/>
      <c r="L86" s="108"/>
      <c r="M86" s="109"/>
      <c r="N86" s="110">
        <v>11.0</v>
      </c>
      <c r="O86" s="111"/>
      <c r="P86" s="111"/>
      <c r="Q86" s="112"/>
      <c r="R86" s="110">
        <v>14.0</v>
      </c>
      <c r="S86" s="111"/>
      <c r="T86" s="111"/>
      <c r="U86" s="112"/>
    </row>
  </sheetData>
  <mergeCells count="17">
    <mergeCell ref="B1:E2"/>
    <mergeCell ref="F1:I2"/>
    <mergeCell ref="J1:M2"/>
    <mergeCell ref="N1:Q2"/>
    <mergeCell ref="R1:U2"/>
    <mergeCell ref="AG5:AI5"/>
    <mergeCell ref="Y13:AE13"/>
    <mergeCell ref="J86:M86"/>
    <mergeCell ref="N86:Q86"/>
    <mergeCell ref="Y21:AC21"/>
    <mergeCell ref="Y32:AC32"/>
    <mergeCell ref="Y42:AC42"/>
    <mergeCell ref="Y52:AC52"/>
    <mergeCell ref="Y62:AC62"/>
    <mergeCell ref="B86:E86"/>
    <mergeCell ref="F86:I86"/>
    <mergeCell ref="R86:U86"/>
  </mergeCells>
  <dataValidations>
    <dataValidation type="list" allowBlank="1" showErrorMessage="1" sqref="W4:W84">
      <formula1>"Academics,Referral,Financial,Mental Health and Wellness,Other"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51.63"/>
    <col customWidth="1" min="2" max="2" width="7.0"/>
    <col customWidth="1" min="3" max="3" width="6.88"/>
    <col customWidth="1" min="4" max="4" width="7.25"/>
    <col customWidth="1" min="5" max="5" width="9.5"/>
    <col customWidth="1" min="6" max="6" width="7.0"/>
    <col customWidth="1" min="7" max="7" width="6.88"/>
    <col customWidth="1" min="8" max="8" width="7.25"/>
    <col customWidth="1" min="9" max="9" width="9.5"/>
    <col customWidth="1" min="10" max="10" width="7.0"/>
    <col customWidth="1" min="11" max="11" width="6.88"/>
    <col customWidth="1" min="12" max="12" width="7.25"/>
    <col customWidth="1" min="13" max="13" width="9.5"/>
    <col customWidth="1" min="14" max="14" width="7.0"/>
    <col customWidth="1" min="15" max="15" width="6.88"/>
    <col customWidth="1" min="16" max="16" width="7.25"/>
    <col customWidth="1" min="17" max="17" width="9.5"/>
    <col customWidth="1" min="18" max="18" width="7.0"/>
    <col customWidth="1" min="19" max="19" width="6.88"/>
    <col customWidth="1" min="20" max="20" width="7.25"/>
    <col customWidth="1" min="21" max="21" width="9.5"/>
    <col customWidth="1" min="22" max="22" width="16.63"/>
    <col customWidth="1" min="23" max="23" width="21.38"/>
    <col customWidth="1" min="25" max="25" width="22.88"/>
    <col customWidth="1" min="26" max="26" width="24.5"/>
    <col customWidth="1" min="27" max="27" width="13.63"/>
    <col customWidth="1" min="33" max="33" width="15.38"/>
    <col customWidth="1" min="34" max="34" width="37.38"/>
  </cols>
  <sheetData>
    <row r="1">
      <c r="A1" s="1"/>
      <c r="B1" s="5">
        <v>45327.0</v>
      </c>
      <c r="C1" s="3"/>
      <c r="D1" s="3"/>
      <c r="E1" s="4"/>
      <c r="F1" s="5">
        <v>45328.0</v>
      </c>
      <c r="G1" s="3"/>
      <c r="H1" s="3"/>
      <c r="I1" s="4"/>
      <c r="J1" s="5">
        <v>45329.0</v>
      </c>
      <c r="K1" s="3"/>
      <c r="L1" s="3"/>
      <c r="M1" s="4"/>
      <c r="N1" s="5">
        <v>45330.0</v>
      </c>
      <c r="O1" s="3"/>
      <c r="P1" s="3"/>
      <c r="Q1" s="4"/>
      <c r="R1" s="5">
        <v>45331.0</v>
      </c>
      <c r="S1" s="3"/>
      <c r="T1" s="3"/>
      <c r="U1" s="4"/>
    </row>
    <row r="2">
      <c r="A2" s="1"/>
      <c r="B2" s="6"/>
      <c r="C2" s="7"/>
      <c r="D2" s="7"/>
      <c r="E2" s="8"/>
      <c r="F2" s="6"/>
      <c r="G2" s="7"/>
      <c r="H2" s="7"/>
      <c r="I2" s="8"/>
      <c r="J2" s="6"/>
      <c r="K2" s="7"/>
      <c r="L2" s="7"/>
      <c r="M2" s="8"/>
      <c r="N2" s="6"/>
      <c r="O2" s="7"/>
      <c r="P2" s="7"/>
      <c r="Q2" s="8"/>
      <c r="R2" s="6"/>
      <c r="S2" s="7"/>
      <c r="T2" s="7"/>
      <c r="U2" s="8"/>
    </row>
    <row r="3" ht="18.0" customHeight="1">
      <c r="A3" s="9" t="s">
        <v>0</v>
      </c>
      <c r="B3" s="10" t="s">
        <v>1</v>
      </c>
      <c r="C3" s="11" t="s">
        <v>2</v>
      </c>
      <c r="D3" s="12" t="s">
        <v>3</v>
      </c>
      <c r="E3" s="13" t="s">
        <v>4</v>
      </c>
      <c r="F3" s="10" t="s">
        <v>1</v>
      </c>
      <c r="G3" s="11" t="s">
        <v>2</v>
      </c>
      <c r="H3" s="12" t="s">
        <v>3</v>
      </c>
      <c r="I3" s="13" t="s">
        <v>4</v>
      </c>
      <c r="J3" s="10" t="s">
        <v>1</v>
      </c>
      <c r="K3" s="11" t="s">
        <v>2</v>
      </c>
      <c r="L3" s="12" t="s">
        <v>3</v>
      </c>
      <c r="M3" s="13" t="s">
        <v>4</v>
      </c>
      <c r="N3" s="10" t="s">
        <v>1</v>
      </c>
      <c r="O3" s="11" t="s">
        <v>2</v>
      </c>
      <c r="P3" s="12" t="s">
        <v>3</v>
      </c>
      <c r="Q3" s="13" t="s">
        <v>4</v>
      </c>
      <c r="R3" s="10" t="s">
        <v>1</v>
      </c>
      <c r="S3" s="11" t="s">
        <v>2</v>
      </c>
      <c r="T3" s="12" t="s">
        <v>3</v>
      </c>
      <c r="U3" s="13" t="s">
        <v>4</v>
      </c>
      <c r="V3" s="14" t="s">
        <v>5</v>
      </c>
      <c r="W3" s="15" t="s">
        <v>6</v>
      </c>
    </row>
    <row r="4">
      <c r="A4" s="16" t="s">
        <v>7</v>
      </c>
      <c r="B4" s="113">
        <v>1.0</v>
      </c>
      <c r="C4" s="22"/>
      <c r="D4" s="22"/>
      <c r="E4" s="23">
        <f t="shared" ref="E4:E84" si="1">sum(B4:D4)</f>
        <v>1</v>
      </c>
      <c r="F4" s="113">
        <v>1.0</v>
      </c>
      <c r="G4" s="22"/>
      <c r="H4" s="22"/>
      <c r="I4" s="23">
        <f t="shared" ref="I4:I84" si="2">sum(F4:H4)</f>
        <v>1</v>
      </c>
      <c r="J4" s="21"/>
      <c r="K4" s="22"/>
      <c r="L4" s="22"/>
      <c r="M4" s="23">
        <f t="shared" ref="M4:M84" si="3">sum(J4:L4)</f>
        <v>0</v>
      </c>
      <c r="N4" s="21"/>
      <c r="O4" s="22"/>
      <c r="P4" s="22"/>
      <c r="Q4" s="23">
        <f t="shared" ref="Q4:Q84" si="4">sum(N4:P4)</f>
        <v>0</v>
      </c>
      <c r="R4" s="21"/>
      <c r="S4" s="22"/>
      <c r="T4" s="22"/>
      <c r="U4" s="23">
        <f t="shared" ref="U4:U84" si="5">sum(R4:T4)</f>
        <v>0</v>
      </c>
      <c r="V4" s="24">
        <f t="shared" ref="V4:V84" si="6">sum(E4,I4,M4,Q4,U4)</f>
        <v>2</v>
      </c>
      <c r="W4" s="25" t="s">
        <v>8</v>
      </c>
    </row>
    <row r="5">
      <c r="A5" s="26" t="s">
        <v>9</v>
      </c>
      <c r="B5" s="38">
        <v>1.0</v>
      </c>
      <c r="C5" s="31"/>
      <c r="D5" s="64">
        <v>1.0</v>
      </c>
      <c r="E5" s="23">
        <f t="shared" si="1"/>
        <v>2</v>
      </c>
      <c r="F5" s="38">
        <v>1.0</v>
      </c>
      <c r="G5" s="31"/>
      <c r="H5" s="31"/>
      <c r="I5" s="23">
        <f t="shared" si="2"/>
        <v>1</v>
      </c>
      <c r="J5" s="38">
        <v>3.0</v>
      </c>
      <c r="K5" s="31"/>
      <c r="L5" s="64">
        <v>1.0</v>
      </c>
      <c r="M5" s="23">
        <f t="shared" si="3"/>
        <v>4</v>
      </c>
      <c r="N5" s="38">
        <v>1.0</v>
      </c>
      <c r="O5" s="31"/>
      <c r="P5" s="31"/>
      <c r="Q5" s="23">
        <f t="shared" si="4"/>
        <v>1</v>
      </c>
      <c r="R5" s="38">
        <v>1.0</v>
      </c>
      <c r="S5" s="31"/>
      <c r="T5" s="31"/>
      <c r="U5" s="23">
        <f t="shared" si="5"/>
        <v>1</v>
      </c>
      <c r="V5" s="24">
        <f t="shared" si="6"/>
        <v>9</v>
      </c>
      <c r="W5" s="25" t="s">
        <v>8</v>
      </c>
      <c r="Y5" s="32" t="s">
        <v>10</v>
      </c>
      <c r="Z5" s="33" t="s">
        <v>11</v>
      </c>
      <c r="AB5" s="34"/>
      <c r="AG5" s="35" t="s">
        <v>12</v>
      </c>
      <c r="AH5" s="36"/>
      <c r="AI5" s="37"/>
    </row>
    <row r="6">
      <c r="A6" s="26" t="s">
        <v>13</v>
      </c>
      <c r="B6" s="30"/>
      <c r="C6" s="31"/>
      <c r="D6" s="31"/>
      <c r="E6" s="23">
        <f t="shared" si="1"/>
        <v>0</v>
      </c>
      <c r="F6" s="30"/>
      <c r="G6" s="31"/>
      <c r="H6" s="31"/>
      <c r="I6" s="23">
        <f t="shared" si="2"/>
        <v>0</v>
      </c>
      <c r="J6" s="30"/>
      <c r="K6" s="31"/>
      <c r="L6" s="31"/>
      <c r="M6" s="23">
        <f t="shared" si="3"/>
        <v>0</v>
      </c>
      <c r="N6" s="30"/>
      <c r="O6" s="31"/>
      <c r="P6" s="31"/>
      <c r="Q6" s="23">
        <f t="shared" si="4"/>
        <v>0</v>
      </c>
      <c r="R6" s="30"/>
      <c r="S6" s="31"/>
      <c r="T6" s="31"/>
      <c r="U6" s="23">
        <f t="shared" si="5"/>
        <v>0</v>
      </c>
      <c r="V6" s="24">
        <f t="shared" si="6"/>
        <v>0</v>
      </c>
      <c r="W6" s="25" t="s">
        <v>8</v>
      </c>
      <c r="Y6" s="39" t="s">
        <v>14</v>
      </c>
      <c r="Z6" s="40">
        <f>SUMIF(W:W,"Academics",V:V)</f>
        <v>82</v>
      </c>
      <c r="AG6" s="41"/>
      <c r="AH6" s="42" t="s">
        <v>15</v>
      </c>
      <c r="AI6" s="42" t="s">
        <v>16</v>
      </c>
    </row>
    <row r="7">
      <c r="A7" s="26" t="s">
        <v>17</v>
      </c>
      <c r="B7" s="30"/>
      <c r="C7" s="31"/>
      <c r="D7" s="31"/>
      <c r="E7" s="23">
        <f t="shared" si="1"/>
        <v>0</v>
      </c>
      <c r="F7" s="30"/>
      <c r="G7" s="31"/>
      <c r="H7" s="31"/>
      <c r="I7" s="23">
        <f t="shared" si="2"/>
        <v>0</v>
      </c>
      <c r="J7" s="30"/>
      <c r="K7" s="31"/>
      <c r="L7" s="31"/>
      <c r="M7" s="23">
        <f t="shared" si="3"/>
        <v>0</v>
      </c>
      <c r="N7" s="30"/>
      <c r="O7" s="31"/>
      <c r="P7" s="31"/>
      <c r="Q7" s="23">
        <f t="shared" si="4"/>
        <v>0</v>
      </c>
      <c r="R7" s="30"/>
      <c r="S7" s="31"/>
      <c r="T7" s="31"/>
      <c r="U7" s="23">
        <f t="shared" si="5"/>
        <v>0</v>
      </c>
      <c r="V7" s="24">
        <f t="shared" si="6"/>
        <v>0</v>
      </c>
      <c r="W7" s="25" t="s">
        <v>8</v>
      </c>
      <c r="Y7" s="43" t="s">
        <v>18</v>
      </c>
      <c r="Z7" s="44">
        <f>SUMIF(W:W,"Referral",V:V)</f>
        <v>44</v>
      </c>
      <c r="AG7" s="45">
        <v>1.0</v>
      </c>
      <c r="AH7" s="46" t="str">
        <f t="array" ref="AH7">IFERROR(TEXTJOIN(", ", TRUE, IF($V$4:$V$84=AI7, $A$4:$A$84, "")), "")
</f>
        <v>Engineering Program Transition Courses</v>
      </c>
      <c r="AI7" s="47">
        <f>LARGE($V$4:$V$84,1)</f>
        <v>21</v>
      </c>
    </row>
    <row r="8">
      <c r="A8" s="26" t="s">
        <v>19</v>
      </c>
      <c r="B8" s="30"/>
      <c r="C8" s="31"/>
      <c r="D8" s="31"/>
      <c r="E8" s="23">
        <f t="shared" si="1"/>
        <v>0</v>
      </c>
      <c r="F8" s="30"/>
      <c r="G8" s="31"/>
      <c r="H8" s="31"/>
      <c r="I8" s="23">
        <f t="shared" si="2"/>
        <v>0</v>
      </c>
      <c r="J8" s="30"/>
      <c r="K8" s="31"/>
      <c r="L8" s="31"/>
      <c r="M8" s="23">
        <f t="shared" si="3"/>
        <v>0</v>
      </c>
      <c r="N8" s="30"/>
      <c r="O8" s="31"/>
      <c r="P8" s="31"/>
      <c r="Q8" s="23">
        <f t="shared" si="4"/>
        <v>0</v>
      </c>
      <c r="R8" s="30"/>
      <c r="S8" s="31"/>
      <c r="T8" s="31"/>
      <c r="U8" s="23">
        <f t="shared" si="5"/>
        <v>0</v>
      </c>
      <c r="V8" s="24">
        <f t="shared" si="6"/>
        <v>0</v>
      </c>
      <c r="W8" s="25" t="s">
        <v>8</v>
      </c>
      <c r="Y8" s="43" t="s">
        <v>20</v>
      </c>
      <c r="Z8" s="44">
        <f>SUMIF(W:W,"Financial",V:V)</f>
        <v>7</v>
      </c>
      <c r="AG8" s="45">
        <v>2.0</v>
      </c>
      <c r="AH8" s="46" t="str">
        <f t="array" ref="AH8">IFERROR(TEXTJOIN(", ", TRUE, IF($V$4:$V$84=AI8, $A$4:$A$84, "")), "")
</f>
        <v>Course Enrollment </v>
      </c>
      <c r="AI8" s="46">
        <f t="array" ref="AI8">LARGE(IF($V$4:$V$84&lt;&gt;MAX($AI$7:AI7),$V$4:$V$84),1)</f>
        <v>18</v>
      </c>
    </row>
    <row r="9">
      <c r="A9" s="26" t="s">
        <v>21</v>
      </c>
      <c r="B9" s="38">
        <v>2.0</v>
      </c>
      <c r="C9" s="31"/>
      <c r="D9" s="31"/>
      <c r="E9" s="23">
        <f t="shared" si="1"/>
        <v>2</v>
      </c>
      <c r="F9" s="30"/>
      <c r="G9" s="31"/>
      <c r="H9" s="31"/>
      <c r="I9" s="23">
        <f t="shared" si="2"/>
        <v>0</v>
      </c>
      <c r="J9" s="30"/>
      <c r="K9" s="31"/>
      <c r="L9" s="64">
        <v>1.0</v>
      </c>
      <c r="M9" s="23">
        <f t="shared" si="3"/>
        <v>1</v>
      </c>
      <c r="N9" s="30"/>
      <c r="O9" s="31"/>
      <c r="P9" s="31"/>
      <c r="Q9" s="23">
        <f t="shared" si="4"/>
        <v>0</v>
      </c>
      <c r="R9" s="30"/>
      <c r="S9" s="31"/>
      <c r="T9" s="64">
        <v>2.0</v>
      </c>
      <c r="U9" s="23">
        <f t="shared" si="5"/>
        <v>2</v>
      </c>
      <c r="V9" s="24">
        <f t="shared" si="6"/>
        <v>5</v>
      </c>
      <c r="W9" s="25" t="s">
        <v>22</v>
      </c>
      <c r="Y9" s="48" t="s">
        <v>23</v>
      </c>
      <c r="Z9" s="40">
        <f>SUMIF(W:W, "Mental Health and Wellness", V:V)</f>
        <v>3</v>
      </c>
      <c r="AG9" s="45">
        <v>3.0</v>
      </c>
      <c r="AH9" s="46" t="str">
        <f t="array" ref="AH9">IFERROR(TEXTJOIN(", ", TRUE, IF($V$4:$V$84=AI9, $A$4:$A$84, "")), "")
</f>
        <v>Chang School</v>
      </c>
      <c r="AI9" s="46">
        <f t="array" ref="AI9">LARGE(IF($V$4:$V$84&lt;&gt;MAX($AI$7:AI7),IF($V$4:$V$84&lt;&gt;MAX($AI$8:AI8),$V$4:$V$84)),1)</f>
        <v>17</v>
      </c>
    </row>
    <row r="10">
      <c r="A10" s="26" t="s">
        <v>24</v>
      </c>
      <c r="B10" s="30"/>
      <c r="C10" s="31"/>
      <c r="D10" s="31"/>
      <c r="E10" s="23">
        <f t="shared" si="1"/>
        <v>0</v>
      </c>
      <c r="F10" s="30"/>
      <c r="G10" s="31"/>
      <c r="H10" s="31"/>
      <c r="I10" s="23">
        <f t="shared" si="2"/>
        <v>0</v>
      </c>
      <c r="J10" s="30"/>
      <c r="K10" s="31"/>
      <c r="L10" s="31"/>
      <c r="M10" s="23">
        <f t="shared" si="3"/>
        <v>0</v>
      </c>
      <c r="N10" s="30"/>
      <c r="O10" s="31"/>
      <c r="P10" s="31"/>
      <c r="Q10" s="23">
        <f t="shared" si="4"/>
        <v>0</v>
      </c>
      <c r="R10" s="30"/>
      <c r="S10" s="31"/>
      <c r="T10" s="31"/>
      <c r="U10" s="23">
        <f t="shared" si="5"/>
        <v>0</v>
      </c>
      <c r="V10" s="24">
        <f t="shared" si="6"/>
        <v>0</v>
      </c>
      <c r="W10" s="25" t="s">
        <v>8</v>
      </c>
      <c r="Y10" s="48" t="s">
        <v>25</v>
      </c>
      <c r="Z10" s="40">
        <f>SUMIF(W:W, "Other", V:V)</f>
        <v>13</v>
      </c>
      <c r="AG10" s="45">
        <v>4.0</v>
      </c>
      <c r="AH10" s="46" t="str">
        <f t="array" ref="AH10">IFERROR(TEXTJOIN(", ", TRUE, IF($V$4:$V$84=AI10, $A$4:$A$84, "")), "")
</f>
        <v>Academic Consideration Requests (ACRs) - Missing Classes</v>
      </c>
      <c r="AI10" s="46">
        <f t="array" ref="AI10">LARGE(IF($V$4:$V$84&lt;&gt;MAX($AI$7:AI7), IF($V$4:$V$84&lt;&gt;MAX($AI$8:AI8), IF($V$4:$V$84&lt;&gt;MAX($AI$9:AI9), $V$4:$V$84))), 1)</f>
        <v>9</v>
      </c>
    </row>
    <row r="11">
      <c r="A11" s="26" t="s">
        <v>26</v>
      </c>
      <c r="B11" s="30"/>
      <c r="C11" s="31"/>
      <c r="D11" s="64">
        <v>1.0</v>
      </c>
      <c r="E11" s="23">
        <f t="shared" si="1"/>
        <v>1</v>
      </c>
      <c r="F11" s="30"/>
      <c r="G11" s="31"/>
      <c r="H11" s="31"/>
      <c r="I11" s="23">
        <f t="shared" si="2"/>
        <v>0</v>
      </c>
      <c r="J11" s="30"/>
      <c r="K11" s="31"/>
      <c r="L11" s="64">
        <v>1.0</v>
      </c>
      <c r="M11" s="23">
        <f t="shared" si="3"/>
        <v>1</v>
      </c>
      <c r="N11" s="30"/>
      <c r="O11" s="31"/>
      <c r="P11" s="31"/>
      <c r="Q11" s="23">
        <f t="shared" si="4"/>
        <v>0</v>
      </c>
      <c r="R11" s="30"/>
      <c r="S11" s="31"/>
      <c r="T11" s="31"/>
      <c r="U11" s="23">
        <f t="shared" si="5"/>
        <v>0</v>
      </c>
      <c r="V11" s="24">
        <f t="shared" si="6"/>
        <v>2</v>
      </c>
      <c r="W11" s="25" t="s">
        <v>22</v>
      </c>
      <c r="Y11" s="49"/>
      <c r="Z11" s="50"/>
      <c r="AG11" s="45">
        <v>5.0</v>
      </c>
      <c r="AH11" s="46" t="str">
        <f t="array" ref="AH11">IFERROR(TEXTJOIN(", ", TRUE, IF($V$4:$V$84=AI11, $A$4:$A$84, "")), "")
</f>
        <v>Course Drop, Directions</v>
      </c>
      <c r="AI11" s="46">
        <f t="array" ref="AI11">LARGE(IF($V$4:$V$84&lt;&gt;MAX($AI$7:AI7), IF($V$4:$V$84&lt;&gt;MAX($AI$8:AI8), IF($V$4:$V$84&lt;&gt;MAX($AI$9:AI9), IF($V$4:$V$84&lt;&gt;MAX($AI$10:AI10), $V$4:$V$84)))), 1)</f>
        <v>7</v>
      </c>
    </row>
    <row r="12">
      <c r="A12" s="26" t="s">
        <v>27</v>
      </c>
      <c r="B12" s="30"/>
      <c r="C12" s="31"/>
      <c r="D12" s="31"/>
      <c r="E12" s="23">
        <f t="shared" si="1"/>
        <v>0</v>
      </c>
      <c r="F12" s="30"/>
      <c r="G12" s="31"/>
      <c r="H12" s="31"/>
      <c r="I12" s="23">
        <f t="shared" si="2"/>
        <v>0</v>
      </c>
      <c r="J12" s="30"/>
      <c r="K12" s="31"/>
      <c r="L12" s="31"/>
      <c r="M12" s="23">
        <f t="shared" si="3"/>
        <v>0</v>
      </c>
      <c r="N12" s="30"/>
      <c r="O12" s="31"/>
      <c r="P12" s="31"/>
      <c r="Q12" s="23">
        <f t="shared" si="4"/>
        <v>0</v>
      </c>
      <c r="R12" s="30"/>
      <c r="S12" s="31"/>
      <c r="T12" s="31"/>
      <c r="U12" s="23">
        <f t="shared" si="5"/>
        <v>0</v>
      </c>
      <c r="V12" s="24">
        <f t="shared" si="6"/>
        <v>0</v>
      </c>
      <c r="W12" s="25" t="s">
        <v>22</v>
      </c>
      <c r="Y12" s="25"/>
      <c r="Z12" s="50"/>
    </row>
    <row r="13">
      <c r="A13" s="26" t="s">
        <v>28</v>
      </c>
      <c r="B13" s="30"/>
      <c r="C13" s="31"/>
      <c r="D13" s="31"/>
      <c r="E13" s="23">
        <f t="shared" si="1"/>
        <v>0</v>
      </c>
      <c r="F13" s="30"/>
      <c r="G13" s="31"/>
      <c r="H13" s="31"/>
      <c r="I13" s="23">
        <f t="shared" si="2"/>
        <v>0</v>
      </c>
      <c r="J13" s="30"/>
      <c r="K13" s="31"/>
      <c r="L13" s="31"/>
      <c r="M13" s="23">
        <f t="shared" si="3"/>
        <v>0</v>
      </c>
      <c r="N13" s="30"/>
      <c r="O13" s="31"/>
      <c r="P13" s="31"/>
      <c r="Q13" s="23">
        <f t="shared" si="4"/>
        <v>0</v>
      </c>
      <c r="R13" s="30"/>
      <c r="S13" s="31"/>
      <c r="T13" s="64">
        <v>1.0</v>
      </c>
      <c r="U13" s="23">
        <f t="shared" si="5"/>
        <v>1</v>
      </c>
      <c r="V13" s="24">
        <f t="shared" si="6"/>
        <v>1</v>
      </c>
      <c r="W13" s="25" t="s">
        <v>22</v>
      </c>
      <c r="Y13" s="51" t="s">
        <v>29</v>
      </c>
      <c r="Z13" s="52"/>
      <c r="AA13" s="52"/>
      <c r="AB13" s="52"/>
      <c r="AC13" s="52"/>
      <c r="AD13" s="52"/>
      <c r="AE13" s="53"/>
    </row>
    <row r="14">
      <c r="A14" s="26" t="s">
        <v>30</v>
      </c>
      <c r="B14" s="30"/>
      <c r="C14" s="31"/>
      <c r="D14" s="31"/>
      <c r="E14" s="23">
        <f t="shared" si="1"/>
        <v>0</v>
      </c>
      <c r="F14" s="30"/>
      <c r="G14" s="31"/>
      <c r="H14" s="64">
        <v>1.0</v>
      </c>
      <c r="I14" s="23">
        <f t="shared" si="2"/>
        <v>1</v>
      </c>
      <c r="J14" s="30"/>
      <c r="K14" s="31"/>
      <c r="L14" s="31"/>
      <c r="M14" s="23">
        <f t="shared" si="3"/>
        <v>0</v>
      </c>
      <c r="N14" s="30"/>
      <c r="O14" s="31"/>
      <c r="P14" s="31"/>
      <c r="Q14" s="23">
        <f t="shared" si="4"/>
        <v>0</v>
      </c>
      <c r="R14" s="30"/>
      <c r="S14" s="31"/>
      <c r="T14" s="31"/>
      <c r="U14" s="23">
        <f t="shared" si="5"/>
        <v>0</v>
      </c>
      <c r="V14" s="24">
        <f t="shared" si="6"/>
        <v>1</v>
      </c>
      <c r="W14" s="25" t="s">
        <v>22</v>
      </c>
      <c r="X14" s="49"/>
      <c r="Y14" s="54"/>
      <c r="Z14" s="55" t="s">
        <v>31</v>
      </c>
      <c r="AA14" s="55" t="s">
        <v>32</v>
      </c>
      <c r="AB14" s="56" t="s">
        <v>33</v>
      </c>
      <c r="AC14" s="55" t="s">
        <v>34</v>
      </c>
      <c r="AD14" s="57" t="s">
        <v>35</v>
      </c>
      <c r="AE14" s="58" t="s">
        <v>36</v>
      </c>
    </row>
    <row r="15">
      <c r="A15" s="26" t="s">
        <v>37</v>
      </c>
      <c r="B15" s="30"/>
      <c r="C15" s="31"/>
      <c r="D15" s="31"/>
      <c r="E15" s="23">
        <f t="shared" si="1"/>
        <v>0</v>
      </c>
      <c r="F15" s="30"/>
      <c r="G15" s="31"/>
      <c r="H15" s="31"/>
      <c r="I15" s="23">
        <f t="shared" si="2"/>
        <v>0</v>
      </c>
      <c r="J15" s="30"/>
      <c r="K15" s="31"/>
      <c r="L15" s="31"/>
      <c r="M15" s="23">
        <f t="shared" si="3"/>
        <v>0</v>
      </c>
      <c r="N15" s="30"/>
      <c r="O15" s="31"/>
      <c r="P15" s="31"/>
      <c r="Q15" s="23">
        <f t="shared" si="4"/>
        <v>0</v>
      </c>
      <c r="R15" s="30"/>
      <c r="S15" s="31"/>
      <c r="T15" s="31"/>
      <c r="U15" s="23">
        <f t="shared" si="5"/>
        <v>0</v>
      </c>
      <c r="V15" s="24">
        <f t="shared" si="6"/>
        <v>0</v>
      </c>
      <c r="W15" s="25" t="s">
        <v>22</v>
      </c>
      <c r="X15" s="25"/>
      <c r="Y15" s="59" t="s">
        <v>1</v>
      </c>
      <c r="Z15" s="60">
        <f>B85</f>
        <v>28</v>
      </c>
      <c r="AA15" s="60">
        <f>F85</f>
        <v>11</v>
      </c>
      <c r="AB15" s="60">
        <f>J85</f>
        <v>10</v>
      </c>
      <c r="AC15" s="60">
        <f>N85</f>
        <v>7</v>
      </c>
      <c r="AD15" s="60">
        <f>R85</f>
        <v>3</v>
      </c>
      <c r="AE15" s="61">
        <f t="shared" ref="AE15:AE18" si="7">sum(Z15:AD15)</f>
        <v>59</v>
      </c>
    </row>
    <row r="16">
      <c r="A16" s="26" t="s">
        <v>38</v>
      </c>
      <c r="B16" s="38">
        <v>1.0</v>
      </c>
      <c r="C16" s="31"/>
      <c r="D16" s="31"/>
      <c r="E16" s="23">
        <f t="shared" si="1"/>
        <v>1</v>
      </c>
      <c r="F16" s="30"/>
      <c r="G16" s="31"/>
      <c r="H16" s="31"/>
      <c r="I16" s="23">
        <f t="shared" si="2"/>
        <v>0</v>
      </c>
      <c r="J16" s="30"/>
      <c r="K16" s="31"/>
      <c r="L16" s="31"/>
      <c r="M16" s="23">
        <f t="shared" si="3"/>
        <v>0</v>
      </c>
      <c r="N16" s="30"/>
      <c r="O16" s="31"/>
      <c r="P16" s="31"/>
      <c r="Q16" s="23">
        <f t="shared" si="4"/>
        <v>0</v>
      </c>
      <c r="R16" s="38">
        <v>1.0</v>
      </c>
      <c r="S16" s="31"/>
      <c r="T16" s="31"/>
      <c r="U16" s="23">
        <f t="shared" si="5"/>
        <v>1</v>
      </c>
      <c r="V16" s="24">
        <f t="shared" si="6"/>
        <v>2</v>
      </c>
      <c r="W16" s="25" t="s">
        <v>8</v>
      </c>
      <c r="X16" s="49"/>
      <c r="Y16" s="59" t="s">
        <v>39</v>
      </c>
      <c r="Z16" s="60">
        <f>C85</f>
        <v>0</v>
      </c>
      <c r="AA16" s="60">
        <f>G85</f>
        <v>0</v>
      </c>
      <c r="AB16" s="60">
        <f>K85</f>
        <v>0</v>
      </c>
      <c r="AC16" s="62">
        <f>O85</f>
        <v>0</v>
      </c>
      <c r="AD16" s="62">
        <f>S85</f>
        <v>0</v>
      </c>
      <c r="AE16" s="61">
        <f t="shared" si="7"/>
        <v>0</v>
      </c>
    </row>
    <row r="17">
      <c r="A17" s="26" t="s">
        <v>40</v>
      </c>
      <c r="B17" s="38">
        <v>1.0</v>
      </c>
      <c r="C17" s="64"/>
      <c r="D17" s="64">
        <v>5.0</v>
      </c>
      <c r="E17" s="23">
        <f t="shared" si="1"/>
        <v>6</v>
      </c>
      <c r="F17" s="30"/>
      <c r="G17" s="31"/>
      <c r="H17" s="64">
        <v>4.0</v>
      </c>
      <c r="I17" s="23">
        <f t="shared" si="2"/>
        <v>4</v>
      </c>
      <c r="J17" s="38">
        <v>1.0</v>
      </c>
      <c r="K17" s="31"/>
      <c r="L17" s="64">
        <v>4.0</v>
      </c>
      <c r="M17" s="23">
        <f t="shared" si="3"/>
        <v>5</v>
      </c>
      <c r="N17" s="38">
        <v>1.0</v>
      </c>
      <c r="O17" s="31"/>
      <c r="P17" s="31"/>
      <c r="Q17" s="23">
        <f t="shared" si="4"/>
        <v>1</v>
      </c>
      <c r="R17" s="30"/>
      <c r="S17" s="31"/>
      <c r="T17" s="64">
        <v>1.0</v>
      </c>
      <c r="U17" s="23">
        <f t="shared" si="5"/>
        <v>1</v>
      </c>
      <c r="V17" s="24">
        <f t="shared" si="6"/>
        <v>17</v>
      </c>
      <c r="W17" s="25" t="s">
        <v>22</v>
      </c>
      <c r="X17" s="49"/>
      <c r="Y17" s="59" t="s">
        <v>41</v>
      </c>
      <c r="Z17" s="60">
        <f>B86</f>
        <v>15</v>
      </c>
      <c r="AA17" s="65">
        <f>F86</f>
        <v>10</v>
      </c>
      <c r="AB17" s="60">
        <f>J86</f>
        <v>8</v>
      </c>
      <c r="AC17" s="62">
        <f>N86</f>
        <v>3</v>
      </c>
      <c r="AD17" s="62">
        <f>R86</f>
        <v>6</v>
      </c>
      <c r="AE17" s="66">
        <f t="shared" si="7"/>
        <v>42</v>
      </c>
    </row>
    <row r="18">
      <c r="A18" s="26" t="s">
        <v>42</v>
      </c>
      <c r="B18" s="30"/>
      <c r="C18" s="31"/>
      <c r="D18" s="31"/>
      <c r="E18" s="23">
        <f t="shared" si="1"/>
        <v>0</v>
      </c>
      <c r="F18" s="30"/>
      <c r="G18" s="31"/>
      <c r="H18" s="31"/>
      <c r="I18" s="23">
        <f t="shared" si="2"/>
        <v>0</v>
      </c>
      <c r="J18" s="30"/>
      <c r="K18" s="31"/>
      <c r="L18" s="31"/>
      <c r="M18" s="23">
        <f t="shared" si="3"/>
        <v>0</v>
      </c>
      <c r="N18" s="30"/>
      <c r="O18" s="31"/>
      <c r="P18" s="31"/>
      <c r="Q18" s="23">
        <f t="shared" si="4"/>
        <v>0</v>
      </c>
      <c r="R18" s="30"/>
      <c r="S18" s="31"/>
      <c r="T18" s="31"/>
      <c r="U18" s="23">
        <f t="shared" si="5"/>
        <v>0</v>
      </c>
      <c r="V18" s="24">
        <f t="shared" si="6"/>
        <v>0</v>
      </c>
      <c r="W18" s="25" t="s">
        <v>22</v>
      </c>
      <c r="X18" s="49"/>
      <c r="Y18" s="67" t="s">
        <v>43</v>
      </c>
      <c r="Z18" s="68">
        <f t="shared" ref="Z18:AD18" si="8">sum(Z15:Z17)</f>
        <v>43</v>
      </c>
      <c r="AA18" s="68">
        <f t="shared" si="8"/>
        <v>21</v>
      </c>
      <c r="AB18" s="68">
        <f t="shared" si="8"/>
        <v>18</v>
      </c>
      <c r="AC18" s="68">
        <f t="shared" si="8"/>
        <v>10</v>
      </c>
      <c r="AD18" s="69">
        <f t="shared" si="8"/>
        <v>9</v>
      </c>
      <c r="AE18" s="68">
        <f t="shared" si="7"/>
        <v>101</v>
      </c>
    </row>
    <row r="19">
      <c r="A19" s="26" t="s">
        <v>44</v>
      </c>
      <c r="B19" s="30"/>
      <c r="C19" s="31"/>
      <c r="D19" s="31"/>
      <c r="E19" s="23">
        <f t="shared" si="1"/>
        <v>0</v>
      </c>
      <c r="F19" s="30"/>
      <c r="G19" s="31"/>
      <c r="H19" s="31"/>
      <c r="I19" s="23">
        <f t="shared" si="2"/>
        <v>0</v>
      </c>
      <c r="J19" s="30"/>
      <c r="K19" s="31"/>
      <c r="L19" s="31"/>
      <c r="M19" s="23">
        <f t="shared" si="3"/>
        <v>0</v>
      </c>
      <c r="N19" s="30"/>
      <c r="O19" s="31"/>
      <c r="P19" s="31"/>
      <c r="Q19" s="23">
        <f t="shared" si="4"/>
        <v>0</v>
      </c>
      <c r="R19" s="30"/>
      <c r="S19" s="31"/>
      <c r="T19" s="31"/>
      <c r="U19" s="23">
        <f t="shared" si="5"/>
        <v>0</v>
      </c>
      <c r="V19" s="24">
        <f t="shared" si="6"/>
        <v>0</v>
      </c>
      <c r="W19" s="25" t="s">
        <v>22</v>
      </c>
      <c r="X19" s="25"/>
      <c r="Y19" s="49"/>
      <c r="Z19" s="49"/>
    </row>
    <row r="20">
      <c r="A20" s="70" t="s">
        <v>45</v>
      </c>
      <c r="B20" s="30"/>
      <c r="C20" s="31"/>
      <c r="D20" s="31"/>
      <c r="E20" s="23">
        <f t="shared" si="1"/>
        <v>0</v>
      </c>
      <c r="F20" s="30"/>
      <c r="G20" s="31"/>
      <c r="H20" s="64">
        <v>2.0</v>
      </c>
      <c r="I20" s="23">
        <f t="shared" si="2"/>
        <v>2</v>
      </c>
      <c r="J20" s="30"/>
      <c r="K20" s="31"/>
      <c r="L20" s="31"/>
      <c r="M20" s="23">
        <f t="shared" si="3"/>
        <v>0</v>
      </c>
      <c r="N20" s="30"/>
      <c r="O20" s="31"/>
      <c r="P20" s="31"/>
      <c r="Q20" s="23">
        <f t="shared" si="4"/>
        <v>0</v>
      </c>
      <c r="R20" s="30"/>
      <c r="S20" s="31"/>
      <c r="T20" s="31"/>
      <c r="U20" s="23">
        <f t="shared" si="5"/>
        <v>0</v>
      </c>
      <c r="V20" s="24">
        <f t="shared" si="6"/>
        <v>2</v>
      </c>
      <c r="W20" s="25" t="s">
        <v>22</v>
      </c>
      <c r="X20" s="49"/>
      <c r="Y20" s="49"/>
      <c r="Z20" s="49"/>
    </row>
    <row r="21">
      <c r="A21" s="26" t="s">
        <v>46</v>
      </c>
      <c r="B21" s="38">
        <v>1.0</v>
      </c>
      <c r="C21" s="31"/>
      <c r="D21" s="31"/>
      <c r="E21" s="23">
        <f t="shared" si="1"/>
        <v>1</v>
      </c>
      <c r="F21" s="30"/>
      <c r="G21" s="31"/>
      <c r="H21" s="31"/>
      <c r="I21" s="23">
        <f t="shared" si="2"/>
        <v>0</v>
      </c>
      <c r="J21" s="30"/>
      <c r="K21" s="31"/>
      <c r="L21" s="31"/>
      <c r="M21" s="23">
        <f t="shared" si="3"/>
        <v>0</v>
      </c>
      <c r="N21" s="30"/>
      <c r="O21" s="31"/>
      <c r="P21" s="31"/>
      <c r="Q21" s="23">
        <f t="shared" si="4"/>
        <v>0</v>
      </c>
      <c r="R21" s="30"/>
      <c r="S21" s="31"/>
      <c r="T21" s="31"/>
      <c r="U21" s="23">
        <f t="shared" si="5"/>
        <v>0</v>
      </c>
      <c r="V21" s="24">
        <f t="shared" si="6"/>
        <v>1</v>
      </c>
      <c r="W21" s="25" t="s">
        <v>23</v>
      </c>
      <c r="X21" s="25"/>
      <c r="Y21" s="71" t="s">
        <v>47</v>
      </c>
      <c r="Z21" s="72"/>
      <c r="AA21" s="72"/>
      <c r="AB21" s="72"/>
      <c r="AC21" s="73"/>
    </row>
    <row r="22">
      <c r="A22" s="26" t="s">
        <v>48</v>
      </c>
      <c r="B22" s="30"/>
      <c r="C22" s="31"/>
      <c r="D22" s="31"/>
      <c r="E22" s="23">
        <f t="shared" si="1"/>
        <v>0</v>
      </c>
      <c r="F22" s="30"/>
      <c r="G22" s="31"/>
      <c r="H22" s="31"/>
      <c r="I22" s="23">
        <f t="shared" si="2"/>
        <v>0</v>
      </c>
      <c r="J22" s="30"/>
      <c r="K22" s="31"/>
      <c r="L22" s="31"/>
      <c r="M22" s="23">
        <f t="shared" si="3"/>
        <v>0</v>
      </c>
      <c r="N22" s="30"/>
      <c r="O22" s="31"/>
      <c r="P22" s="64">
        <v>1.0</v>
      </c>
      <c r="Q22" s="23">
        <f t="shared" si="4"/>
        <v>1</v>
      </c>
      <c r="R22" s="30"/>
      <c r="S22" s="31"/>
      <c r="T22" s="31"/>
      <c r="U22" s="23">
        <f t="shared" si="5"/>
        <v>0</v>
      </c>
      <c r="V22" s="24">
        <f t="shared" si="6"/>
        <v>1</v>
      </c>
      <c r="W22" s="25" t="s">
        <v>22</v>
      </c>
      <c r="X22" s="49"/>
      <c r="Y22" s="74" t="s">
        <v>49</v>
      </c>
      <c r="Z22" s="75" t="s">
        <v>50</v>
      </c>
      <c r="AA22" s="75" t="s">
        <v>51</v>
      </c>
      <c r="AB22" s="75" t="s">
        <v>2</v>
      </c>
      <c r="AC22" s="75" t="s">
        <v>41</v>
      </c>
    </row>
    <row r="23">
      <c r="A23" s="70" t="s">
        <v>52</v>
      </c>
      <c r="B23" s="38">
        <v>1.0</v>
      </c>
      <c r="C23" s="31"/>
      <c r="D23" s="31"/>
      <c r="E23" s="23">
        <f t="shared" si="1"/>
        <v>1</v>
      </c>
      <c r="F23" s="38">
        <v>2.0</v>
      </c>
      <c r="G23" s="31"/>
      <c r="H23" s="31"/>
      <c r="I23" s="23">
        <f t="shared" si="2"/>
        <v>2</v>
      </c>
      <c r="J23" s="30"/>
      <c r="K23" s="31"/>
      <c r="L23" s="64">
        <v>1.0</v>
      </c>
      <c r="M23" s="23">
        <f t="shared" si="3"/>
        <v>1</v>
      </c>
      <c r="N23" s="38">
        <v>2.0</v>
      </c>
      <c r="O23" s="31"/>
      <c r="P23" s="31"/>
      <c r="Q23" s="23">
        <f t="shared" si="4"/>
        <v>2</v>
      </c>
      <c r="R23" s="30"/>
      <c r="S23" s="31"/>
      <c r="T23" s="64">
        <v>1.0</v>
      </c>
      <c r="U23" s="23">
        <f t="shared" si="5"/>
        <v>1</v>
      </c>
      <c r="V23" s="24">
        <f t="shared" si="6"/>
        <v>7</v>
      </c>
      <c r="W23" s="25" t="s">
        <v>8</v>
      </c>
      <c r="X23" s="49"/>
      <c r="Y23" s="76">
        <v>45179.0</v>
      </c>
      <c r="Z23" s="77"/>
      <c r="AA23" s="77"/>
      <c r="AB23" s="78" t="b">
        <v>0</v>
      </c>
      <c r="AC23" s="79" t="b">
        <v>0</v>
      </c>
    </row>
    <row r="24">
      <c r="A24" s="26" t="s">
        <v>53</v>
      </c>
      <c r="B24" s="30"/>
      <c r="C24" s="31"/>
      <c r="D24" s="64">
        <v>4.0</v>
      </c>
      <c r="E24" s="23">
        <f t="shared" si="1"/>
        <v>4</v>
      </c>
      <c r="F24" s="38">
        <v>1.0</v>
      </c>
      <c r="G24" s="31"/>
      <c r="H24" s="64">
        <v>1.0</v>
      </c>
      <c r="I24" s="23">
        <f t="shared" si="2"/>
        <v>2</v>
      </c>
      <c r="J24" s="38">
        <v>1.0</v>
      </c>
      <c r="K24" s="31"/>
      <c r="L24" s="64">
        <v>8.0</v>
      </c>
      <c r="M24" s="23">
        <f t="shared" si="3"/>
        <v>9</v>
      </c>
      <c r="N24" s="38">
        <v>1.0</v>
      </c>
      <c r="O24" s="31"/>
      <c r="P24" s="31"/>
      <c r="Q24" s="23">
        <f t="shared" si="4"/>
        <v>1</v>
      </c>
      <c r="R24" s="30"/>
      <c r="S24" s="31"/>
      <c r="T24" s="64">
        <v>2.0</v>
      </c>
      <c r="U24" s="23">
        <f t="shared" si="5"/>
        <v>2</v>
      </c>
      <c r="V24" s="24">
        <f t="shared" si="6"/>
        <v>18</v>
      </c>
      <c r="W24" s="25" t="s">
        <v>8</v>
      </c>
      <c r="X24" s="49"/>
      <c r="Y24" s="76">
        <v>45210.0</v>
      </c>
      <c r="Z24" s="77"/>
      <c r="AA24" s="77"/>
      <c r="AB24" s="80" t="b">
        <v>0</v>
      </c>
      <c r="AC24" s="81" t="b">
        <v>0</v>
      </c>
    </row>
    <row r="25">
      <c r="A25" s="26" t="s">
        <v>54</v>
      </c>
      <c r="B25" s="30"/>
      <c r="C25" s="31"/>
      <c r="D25" s="31"/>
      <c r="E25" s="23">
        <f t="shared" si="1"/>
        <v>0</v>
      </c>
      <c r="F25" s="30"/>
      <c r="G25" s="31"/>
      <c r="H25" s="31"/>
      <c r="I25" s="23">
        <f t="shared" si="2"/>
        <v>0</v>
      </c>
      <c r="J25" s="30"/>
      <c r="K25" s="31"/>
      <c r="L25" s="31"/>
      <c r="M25" s="23">
        <f t="shared" si="3"/>
        <v>0</v>
      </c>
      <c r="N25" s="30"/>
      <c r="O25" s="31"/>
      <c r="P25" s="31"/>
      <c r="Q25" s="23">
        <f t="shared" si="4"/>
        <v>0</v>
      </c>
      <c r="R25" s="30"/>
      <c r="S25" s="31"/>
      <c r="T25" s="31"/>
      <c r="U25" s="23">
        <f t="shared" si="5"/>
        <v>0</v>
      </c>
      <c r="V25" s="24">
        <f t="shared" si="6"/>
        <v>0</v>
      </c>
      <c r="W25" s="25" t="s">
        <v>8</v>
      </c>
      <c r="X25" s="49"/>
      <c r="Y25" s="76">
        <v>45242.0</v>
      </c>
      <c r="Z25" s="77"/>
      <c r="AA25" s="77"/>
      <c r="AB25" s="80" t="b">
        <v>0</v>
      </c>
      <c r="AC25" s="81" t="b">
        <v>0</v>
      </c>
    </row>
    <row r="26">
      <c r="A26" s="26" t="s">
        <v>55</v>
      </c>
      <c r="B26" s="38">
        <v>1.0</v>
      </c>
      <c r="C26" s="31"/>
      <c r="D26" s="31"/>
      <c r="E26" s="23">
        <f t="shared" si="1"/>
        <v>1</v>
      </c>
      <c r="F26" s="30"/>
      <c r="G26" s="31"/>
      <c r="H26" s="31"/>
      <c r="I26" s="23">
        <f t="shared" si="2"/>
        <v>0</v>
      </c>
      <c r="J26" s="30"/>
      <c r="K26" s="31"/>
      <c r="L26" s="31"/>
      <c r="M26" s="23">
        <f t="shared" si="3"/>
        <v>0</v>
      </c>
      <c r="N26" s="30"/>
      <c r="O26" s="31"/>
      <c r="P26" s="31"/>
      <c r="Q26" s="23">
        <f t="shared" si="4"/>
        <v>0</v>
      </c>
      <c r="R26" s="30"/>
      <c r="S26" s="31"/>
      <c r="T26" s="31"/>
      <c r="U26" s="23">
        <f t="shared" si="5"/>
        <v>0</v>
      </c>
      <c r="V26" s="24">
        <f t="shared" si="6"/>
        <v>1</v>
      </c>
      <c r="W26" s="25" t="s">
        <v>22</v>
      </c>
      <c r="Y26" s="76">
        <v>45261.0</v>
      </c>
      <c r="Z26" s="77"/>
      <c r="AA26" s="77"/>
      <c r="AB26" s="80" t="b">
        <v>0</v>
      </c>
      <c r="AC26" s="81" t="b">
        <v>0</v>
      </c>
    </row>
    <row r="27">
      <c r="A27" s="26" t="s">
        <v>56</v>
      </c>
      <c r="B27" s="30"/>
      <c r="C27" s="31"/>
      <c r="D27" s="31"/>
      <c r="E27" s="23">
        <f t="shared" si="1"/>
        <v>0</v>
      </c>
      <c r="F27" s="30"/>
      <c r="G27" s="31"/>
      <c r="H27" s="31"/>
      <c r="I27" s="23">
        <f t="shared" si="2"/>
        <v>0</v>
      </c>
      <c r="J27" s="30"/>
      <c r="K27" s="31"/>
      <c r="L27" s="31"/>
      <c r="M27" s="23">
        <f t="shared" si="3"/>
        <v>0</v>
      </c>
      <c r="N27" s="30"/>
      <c r="O27" s="31"/>
      <c r="P27" s="31"/>
      <c r="Q27" s="23">
        <f t="shared" si="4"/>
        <v>0</v>
      </c>
      <c r="R27" s="30"/>
      <c r="S27" s="31"/>
      <c r="T27" s="31"/>
      <c r="U27" s="23">
        <f t="shared" si="5"/>
        <v>0</v>
      </c>
      <c r="V27" s="24">
        <f t="shared" si="6"/>
        <v>0</v>
      </c>
      <c r="W27" s="25" t="s">
        <v>8</v>
      </c>
      <c r="Y27" s="76">
        <v>44928.0</v>
      </c>
      <c r="Z27" s="77"/>
      <c r="AA27" s="77"/>
      <c r="AB27" s="80" t="b">
        <v>0</v>
      </c>
      <c r="AC27" s="81" t="b">
        <v>0</v>
      </c>
    </row>
    <row r="28">
      <c r="A28" s="70" t="s">
        <v>57</v>
      </c>
      <c r="B28" s="30"/>
      <c r="C28" s="31"/>
      <c r="D28" s="31"/>
      <c r="E28" s="23">
        <f t="shared" si="1"/>
        <v>0</v>
      </c>
      <c r="F28" s="30"/>
      <c r="G28" s="31"/>
      <c r="H28" s="31"/>
      <c r="I28" s="23">
        <f t="shared" si="2"/>
        <v>0</v>
      </c>
      <c r="J28" s="30"/>
      <c r="K28" s="31"/>
      <c r="L28" s="31"/>
      <c r="M28" s="23">
        <f t="shared" si="3"/>
        <v>0</v>
      </c>
      <c r="N28" s="30"/>
      <c r="O28" s="31"/>
      <c r="P28" s="31"/>
      <c r="Q28" s="23">
        <f t="shared" si="4"/>
        <v>0</v>
      </c>
      <c r="R28" s="30"/>
      <c r="S28" s="31"/>
      <c r="T28" s="31"/>
      <c r="U28" s="23">
        <f t="shared" si="5"/>
        <v>0</v>
      </c>
      <c r="V28" s="24">
        <f t="shared" si="6"/>
        <v>0</v>
      </c>
      <c r="W28" s="25" t="s">
        <v>8</v>
      </c>
      <c r="X28" s="49"/>
      <c r="Y28" s="76">
        <v>44960.0</v>
      </c>
      <c r="Z28" s="77"/>
      <c r="AA28" s="77"/>
      <c r="AB28" s="80" t="b">
        <v>0</v>
      </c>
      <c r="AC28" s="81" t="b">
        <v>0</v>
      </c>
    </row>
    <row r="29">
      <c r="A29" s="26" t="s">
        <v>58</v>
      </c>
      <c r="B29" s="38">
        <v>2.0</v>
      </c>
      <c r="C29" s="31"/>
      <c r="D29" s="31"/>
      <c r="E29" s="23">
        <f t="shared" si="1"/>
        <v>2</v>
      </c>
      <c r="F29" s="30"/>
      <c r="G29" s="31"/>
      <c r="H29" s="31"/>
      <c r="I29" s="23">
        <f t="shared" si="2"/>
        <v>0</v>
      </c>
      <c r="J29" s="30"/>
      <c r="K29" s="31"/>
      <c r="L29" s="64">
        <v>1.0</v>
      </c>
      <c r="M29" s="23">
        <f t="shared" si="3"/>
        <v>1</v>
      </c>
      <c r="N29" s="30"/>
      <c r="O29" s="31"/>
      <c r="P29" s="31"/>
      <c r="Q29" s="23">
        <f t="shared" si="4"/>
        <v>0</v>
      </c>
      <c r="R29" s="30"/>
      <c r="S29" s="31"/>
      <c r="T29" s="31"/>
      <c r="U29" s="23">
        <f t="shared" si="5"/>
        <v>0</v>
      </c>
      <c r="V29" s="24">
        <f t="shared" si="6"/>
        <v>3</v>
      </c>
      <c r="W29" s="25" t="s">
        <v>8</v>
      </c>
      <c r="X29" s="49"/>
      <c r="Y29" s="76">
        <v>44989.0</v>
      </c>
      <c r="Z29" s="77"/>
      <c r="AA29" s="77"/>
      <c r="AB29" s="80" t="b">
        <v>0</v>
      </c>
      <c r="AC29" s="81" t="b">
        <v>0</v>
      </c>
    </row>
    <row r="30">
      <c r="A30" s="26" t="s">
        <v>59</v>
      </c>
      <c r="B30" s="30"/>
      <c r="C30" s="31"/>
      <c r="D30" s="31"/>
      <c r="E30" s="23">
        <f t="shared" si="1"/>
        <v>0</v>
      </c>
      <c r="F30" s="30"/>
      <c r="G30" s="31"/>
      <c r="H30" s="64">
        <v>4.0</v>
      </c>
      <c r="I30" s="23">
        <f t="shared" si="2"/>
        <v>4</v>
      </c>
      <c r="J30" s="30"/>
      <c r="K30" s="31"/>
      <c r="L30" s="31"/>
      <c r="M30" s="23">
        <f t="shared" si="3"/>
        <v>0</v>
      </c>
      <c r="N30" s="30"/>
      <c r="O30" s="31"/>
      <c r="P30" s="64">
        <v>1.0</v>
      </c>
      <c r="Q30" s="23">
        <f t="shared" si="4"/>
        <v>1</v>
      </c>
      <c r="R30" s="30"/>
      <c r="S30" s="31"/>
      <c r="T30" s="64">
        <v>2.0</v>
      </c>
      <c r="U30" s="23">
        <f t="shared" si="5"/>
        <v>2</v>
      </c>
      <c r="V30" s="24">
        <f t="shared" si="6"/>
        <v>7</v>
      </c>
      <c r="W30" s="25" t="s">
        <v>25</v>
      </c>
      <c r="X30" s="49"/>
      <c r="Y30" s="49"/>
      <c r="Z30" s="49"/>
      <c r="AA30" s="49"/>
      <c r="AB30" s="49"/>
      <c r="AC30" s="49"/>
    </row>
    <row r="31">
      <c r="A31" s="70" t="s">
        <v>60</v>
      </c>
      <c r="B31" s="30"/>
      <c r="C31" s="31"/>
      <c r="D31" s="31"/>
      <c r="E31" s="23">
        <f t="shared" si="1"/>
        <v>0</v>
      </c>
      <c r="F31" s="30"/>
      <c r="G31" s="31"/>
      <c r="H31" s="31"/>
      <c r="I31" s="23">
        <f t="shared" si="2"/>
        <v>0</v>
      </c>
      <c r="J31" s="30"/>
      <c r="K31" s="31"/>
      <c r="L31" s="31"/>
      <c r="M31" s="23">
        <f t="shared" si="3"/>
        <v>0</v>
      </c>
      <c r="N31" s="30"/>
      <c r="O31" s="31"/>
      <c r="P31" s="31"/>
      <c r="Q31" s="23">
        <f t="shared" si="4"/>
        <v>0</v>
      </c>
      <c r="R31" s="30"/>
      <c r="S31" s="31"/>
      <c r="T31" s="31"/>
      <c r="U31" s="23">
        <f t="shared" si="5"/>
        <v>0</v>
      </c>
      <c r="V31" s="24">
        <f t="shared" si="6"/>
        <v>0</v>
      </c>
      <c r="W31" s="25" t="s">
        <v>22</v>
      </c>
      <c r="X31" s="49"/>
      <c r="Y31" s="82"/>
      <c r="Z31" s="82"/>
      <c r="AA31" s="82"/>
      <c r="AB31" s="82"/>
      <c r="AC31" s="82"/>
    </row>
    <row r="32">
      <c r="A32" s="26" t="s">
        <v>61</v>
      </c>
      <c r="B32" s="30"/>
      <c r="C32" s="31"/>
      <c r="D32" s="31"/>
      <c r="E32" s="23">
        <f t="shared" si="1"/>
        <v>0</v>
      </c>
      <c r="F32" s="30"/>
      <c r="G32" s="31"/>
      <c r="H32" s="31"/>
      <c r="I32" s="23">
        <f t="shared" si="2"/>
        <v>0</v>
      </c>
      <c r="J32" s="30"/>
      <c r="K32" s="31"/>
      <c r="L32" s="31"/>
      <c r="M32" s="23">
        <f t="shared" si="3"/>
        <v>0</v>
      </c>
      <c r="N32" s="30"/>
      <c r="O32" s="31"/>
      <c r="P32" s="31"/>
      <c r="Q32" s="23">
        <f t="shared" si="4"/>
        <v>0</v>
      </c>
      <c r="R32" s="30"/>
      <c r="S32" s="31"/>
      <c r="T32" s="31"/>
      <c r="U32" s="23">
        <f t="shared" si="5"/>
        <v>0</v>
      </c>
      <c r="V32" s="24">
        <f t="shared" si="6"/>
        <v>0</v>
      </c>
      <c r="W32" s="25" t="s">
        <v>8</v>
      </c>
      <c r="X32" s="49"/>
      <c r="Y32" s="83" t="s">
        <v>62</v>
      </c>
      <c r="Z32" s="84"/>
      <c r="AA32" s="84"/>
      <c r="AB32" s="84"/>
      <c r="AC32" s="85"/>
    </row>
    <row r="33">
      <c r="A33" s="26" t="s">
        <v>63</v>
      </c>
      <c r="B33" s="38">
        <v>8.0</v>
      </c>
      <c r="C33" s="64"/>
      <c r="D33" s="64">
        <v>1.0</v>
      </c>
      <c r="E33" s="23">
        <f t="shared" si="1"/>
        <v>9</v>
      </c>
      <c r="F33" s="38">
        <v>2.0</v>
      </c>
      <c r="G33" s="31"/>
      <c r="H33" s="64">
        <v>5.0</v>
      </c>
      <c r="I33" s="23">
        <f t="shared" si="2"/>
        <v>7</v>
      </c>
      <c r="J33" s="38">
        <v>1.0</v>
      </c>
      <c r="K33" s="31"/>
      <c r="L33" s="64">
        <v>3.0</v>
      </c>
      <c r="M33" s="23">
        <f t="shared" si="3"/>
        <v>4</v>
      </c>
      <c r="N33" s="30"/>
      <c r="O33" s="31"/>
      <c r="P33" s="64">
        <v>1.0</v>
      </c>
      <c r="Q33" s="23">
        <f t="shared" si="4"/>
        <v>1</v>
      </c>
      <c r="R33" s="30"/>
      <c r="S33" s="31"/>
      <c r="T33" s="31"/>
      <c r="U33" s="23">
        <f t="shared" si="5"/>
        <v>0</v>
      </c>
      <c r="V33" s="24">
        <f t="shared" si="6"/>
        <v>21</v>
      </c>
      <c r="W33" s="25" t="s">
        <v>8</v>
      </c>
      <c r="X33" s="49"/>
      <c r="Y33" s="74" t="s">
        <v>49</v>
      </c>
      <c r="Z33" s="75" t="s">
        <v>50</v>
      </c>
      <c r="AA33" s="75" t="s">
        <v>64</v>
      </c>
      <c r="AB33" s="75" t="s">
        <v>2</v>
      </c>
      <c r="AC33" s="75" t="s">
        <v>41</v>
      </c>
    </row>
    <row r="34">
      <c r="A34" s="26" t="s">
        <v>65</v>
      </c>
      <c r="B34" s="30"/>
      <c r="C34" s="31"/>
      <c r="D34" s="64">
        <v>1.0</v>
      </c>
      <c r="E34" s="23">
        <f t="shared" si="1"/>
        <v>1</v>
      </c>
      <c r="F34" s="30"/>
      <c r="G34" s="31"/>
      <c r="H34" s="31"/>
      <c r="I34" s="23">
        <f t="shared" si="2"/>
        <v>0</v>
      </c>
      <c r="J34" s="30"/>
      <c r="K34" s="31"/>
      <c r="L34" s="31"/>
      <c r="M34" s="23">
        <f t="shared" si="3"/>
        <v>0</v>
      </c>
      <c r="N34" s="30"/>
      <c r="O34" s="31"/>
      <c r="P34" s="31"/>
      <c r="Q34" s="23">
        <f t="shared" si="4"/>
        <v>0</v>
      </c>
      <c r="R34" s="30"/>
      <c r="S34" s="31"/>
      <c r="T34" s="31"/>
      <c r="U34" s="23">
        <f t="shared" si="5"/>
        <v>0</v>
      </c>
      <c r="V34" s="24">
        <f t="shared" si="6"/>
        <v>1</v>
      </c>
      <c r="W34" s="25" t="s">
        <v>8</v>
      </c>
      <c r="X34" s="49"/>
      <c r="Y34" s="76">
        <v>45179.0</v>
      </c>
      <c r="Z34" s="77"/>
      <c r="AA34" s="77"/>
      <c r="AB34" s="78" t="b">
        <v>0</v>
      </c>
      <c r="AC34" s="79" t="b">
        <v>0</v>
      </c>
    </row>
    <row r="35">
      <c r="A35" s="26" t="s">
        <v>66</v>
      </c>
      <c r="B35" s="30"/>
      <c r="C35" s="31"/>
      <c r="D35" s="31"/>
      <c r="E35" s="23">
        <f t="shared" si="1"/>
        <v>0</v>
      </c>
      <c r="F35" s="30"/>
      <c r="G35" s="31"/>
      <c r="H35" s="31"/>
      <c r="I35" s="23">
        <f t="shared" si="2"/>
        <v>0</v>
      </c>
      <c r="J35" s="30"/>
      <c r="K35" s="31"/>
      <c r="L35" s="31"/>
      <c r="M35" s="23">
        <f t="shared" si="3"/>
        <v>0</v>
      </c>
      <c r="N35" s="30"/>
      <c r="O35" s="31"/>
      <c r="P35" s="31"/>
      <c r="Q35" s="23">
        <f t="shared" si="4"/>
        <v>0</v>
      </c>
      <c r="R35" s="30"/>
      <c r="S35" s="31"/>
      <c r="T35" s="31"/>
      <c r="U35" s="23">
        <f t="shared" si="5"/>
        <v>0</v>
      </c>
      <c r="V35" s="24">
        <f t="shared" si="6"/>
        <v>0</v>
      </c>
      <c r="W35" s="25" t="s">
        <v>8</v>
      </c>
      <c r="X35" s="49"/>
      <c r="Y35" s="76">
        <v>45210.0</v>
      </c>
      <c r="Z35" s="77"/>
      <c r="AA35" s="77"/>
      <c r="AB35" s="80" t="b">
        <v>0</v>
      </c>
      <c r="AC35" s="81" t="b">
        <v>0</v>
      </c>
    </row>
    <row r="36">
      <c r="A36" s="26" t="s">
        <v>67</v>
      </c>
      <c r="B36" s="38">
        <v>1.0</v>
      </c>
      <c r="C36" s="31"/>
      <c r="D36" s="64">
        <v>2.0</v>
      </c>
      <c r="E36" s="23">
        <f t="shared" si="1"/>
        <v>3</v>
      </c>
      <c r="F36" s="30"/>
      <c r="G36" s="31"/>
      <c r="H36" s="64">
        <v>1.0</v>
      </c>
      <c r="I36" s="23">
        <f t="shared" si="2"/>
        <v>1</v>
      </c>
      <c r="J36" s="30"/>
      <c r="K36" s="31"/>
      <c r="L36" s="31"/>
      <c r="M36" s="23">
        <f t="shared" si="3"/>
        <v>0</v>
      </c>
      <c r="N36" s="30"/>
      <c r="O36" s="31"/>
      <c r="P36" s="31"/>
      <c r="Q36" s="23">
        <f t="shared" si="4"/>
        <v>0</v>
      </c>
      <c r="R36" s="30"/>
      <c r="S36" s="31"/>
      <c r="T36" s="31"/>
      <c r="U36" s="23">
        <f t="shared" si="5"/>
        <v>0</v>
      </c>
      <c r="V36" s="24">
        <f t="shared" si="6"/>
        <v>4</v>
      </c>
      <c r="W36" s="25" t="s">
        <v>20</v>
      </c>
      <c r="X36" s="49"/>
      <c r="Y36" s="76">
        <v>45242.0</v>
      </c>
      <c r="Z36" s="77"/>
      <c r="AA36" s="77"/>
      <c r="AB36" s="80" t="b">
        <v>0</v>
      </c>
      <c r="AC36" s="81" t="b">
        <v>0</v>
      </c>
    </row>
    <row r="37">
      <c r="A37" s="26" t="s">
        <v>68</v>
      </c>
      <c r="B37" s="30"/>
      <c r="C37" s="31"/>
      <c r="D37" s="31"/>
      <c r="E37" s="23">
        <f t="shared" si="1"/>
        <v>0</v>
      </c>
      <c r="F37" s="30"/>
      <c r="G37" s="31"/>
      <c r="H37" s="64">
        <v>1.0</v>
      </c>
      <c r="I37" s="23">
        <f t="shared" si="2"/>
        <v>1</v>
      </c>
      <c r="J37" s="30"/>
      <c r="K37" s="31"/>
      <c r="L37" s="31"/>
      <c r="M37" s="23">
        <f t="shared" si="3"/>
        <v>0</v>
      </c>
      <c r="N37" s="30"/>
      <c r="O37" s="31"/>
      <c r="P37" s="31"/>
      <c r="Q37" s="23">
        <f t="shared" si="4"/>
        <v>0</v>
      </c>
      <c r="R37" s="30"/>
      <c r="S37" s="31"/>
      <c r="T37" s="31"/>
      <c r="U37" s="23">
        <f t="shared" si="5"/>
        <v>0</v>
      </c>
      <c r="V37" s="24">
        <f t="shared" si="6"/>
        <v>1</v>
      </c>
      <c r="W37" s="25" t="s">
        <v>8</v>
      </c>
      <c r="X37" s="49"/>
      <c r="Y37" s="76">
        <v>45261.0</v>
      </c>
      <c r="Z37" s="77"/>
      <c r="AA37" s="77"/>
      <c r="AB37" s="80" t="b">
        <v>0</v>
      </c>
      <c r="AC37" s="81" t="b">
        <v>0</v>
      </c>
    </row>
    <row r="38">
      <c r="A38" s="26" t="s">
        <v>69</v>
      </c>
      <c r="B38" s="30"/>
      <c r="C38" s="31"/>
      <c r="D38" s="31"/>
      <c r="E38" s="23">
        <f t="shared" si="1"/>
        <v>0</v>
      </c>
      <c r="F38" s="30"/>
      <c r="G38" s="31"/>
      <c r="H38" s="64">
        <v>1.0</v>
      </c>
      <c r="I38" s="23">
        <f t="shared" si="2"/>
        <v>1</v>
      </c>
      <c r="J38" s="30"/>
      <c r="K38" s="31"/>
      <c r="L38" s="31"/>
      <c r="M38" s="23">
        <f t="shared" si="3"/>
        <v>0</v>
      </c>
      <c r="N38" s="30"/>
      <c r="O38" s="31"/>
      <c r="P38" s="31"/>
      <c r="Q38" s="23">
        <f t="shared" si="4"/>
        <v>0</v>
      </c>
      <c r="R38" s="30"/>
      <c r="S38" s="31"/>
      <c r="T38" s="31"/>
      <c r="U38" s="23">
        <f t="shared" si="5"/>
        <v>0</v>
      </c>
      <c r="V38" s="24">
        <f t="shared" si="6"/>
        <v>1</v>
      </c>
      <c r="W38" s="25" t="s">
        <v>8</v>
      </c>
      <c r="X38" s="49"/>
      <c r="Y38" s="76">
        <v>44928.0</v>
      </c>
      <c r="Z38" s="77"/>
      <c r="AA38" s="77"/>
      <c r="AB38" s="80" t="b">
        <v>0</v>
      </c>
      <c r="AC38" s="81" t="b">
        <v>0</v>
      </c>
    </row>
    <row r="39">
      <c r="A39" s="26" t="s">
        <v>70</v>
      </c>
      <c r="B39" s="30"/>
      <c r="C39" s="31"/>
      <c r="D39" s="31"/>
      <c r="E39" s="23">
        <f t="shared" si="1"/>
        <v>0</v>
      </c>
      <c r="F39" s="30"/>
      <c r="G39" s="31"/>
      <c r="H39" s="31"/>
      <c r="I39" s="23">
        <f t="shared" si="2"/>
        <v>0</v>
      </c>
      <c r="J39" s="30"/>
      <c r="K39" s="31"/>
      <c r="L39" s="31"/>
      <c r="M39" s="23">
        <f t="shared" si="3"/>
        <v>0</v>
      </c>
      <c r="N39" s="30"/>
      <c r="O39" s="31"/>
      <c r="P39" s="31"/>
      <c r="Q39" s="23">
        <f t="shared" si="4"/>
        <v>0</v>
      </c>
      <c r="R39" s="30"/>
      <c r="S39" s="31"/>
      <c r="T39" s="31"/>
      <c r="U39" s="23">
        <f t="shared" si="5"/>
        <v>0</v>
      </c>
      <c r="V39" s="24">
        <f t="shared" si="6"/>
        <v>0</v>
      </c>
      <c r="W39" s="25" t="s">
        <v>8</v>
      </c>
      <c r="X39" s="49"/>
      <c r="Y39" s="76">
        <v>44960.0</v>
      </c>
      <c r="Z39" s="77"/>
      <c r="AA39" s="77"/>
      <c r="AB39" s="80" t="b">
        <v>0</v>
      </c>
      <c r="AC39" s="81" t="b">
        <v>0</v>
      </c>
    </row>
    <row r="40">
      <c r="A40" s="26" t="s">
        <v>71</v>
      </c>
      <c r="B40" s="30"/>
      <c r="C40" s="31"/>
      <c r="D40" s="31"/>
      <c r="E40" s="23">
        <f t="shared" si="1"/>
        <v>0</v>
      </c>
      <c r="F40" s="30"/>
      <c r="G40" s="31"/>
      <c r="H40" s="31"/>
      <c r="I40" s="23">
        <f t="shared" si="2"/>
        <v>0</v>
      </c>
      <c r="J40" s="30"/>
      <c r="K40" s="31"/>
      <c r="L40" s="31"/>
      <c r="M40" s="23">
        <f t="shared" si="3"/>
        <v>0</v>
      </c>
      <c r="N40" s="30"/>
      <c r="O40" s="31"/>
      <c r="P40" s="31"/>
      <c r="Q40" s="23">
        <f t="shared" si="4"/>
        <v>0</v>
      </c>
      <c r="R40" s="30"/>
      <c r="S40" s="31"/>
      <c r="T40" s="31"/>
      <c r="U40" s="23">
        <f t="shared" si="5"/>
        <v>0</v>
      </c>
      <c r="V40" s="24">
        <f t="shared" si="6"/>
        <v>0</v>
      </c>
      <c r="W40" s="25" t="s">
        <v>8</v>
      </c>
      <c r="X40" s="49"/>
      <c r="Y40" s="76">
        <v>44989.0</v>
      </c>
      <c r="Z40" s="77"/>
      <c r="AA40" s="77"/>
      <c r="AB40" s="80" t="b">
        <v>0</v>
      </c>
      <c r="AC40" s="81" t="b">
        <v>0</v>
      </c>
    </row>
    <row r="41">
      <c r="A41" s="26" t="s">
        <v>72</v>
      </c>
      <c r="B41" s="30"/>
      <c r="C41" s="31"/>
      <c r="D41" s="31"/>
      <c r="E41" s="23">
        <f t="shared" si="1"/>
        <v>0</v>
      </c>
      <c r="F41" s="30"/>
      <c r="G41" s="31"/>
      <c r="H41" s="64">
        <v>1.0</v>
      </c>
      <c r="I41" s="23">
        <f t="shared" si="2"/>
        <v>1</v>
      </c>
      <c r="J41" s="30"/>
      <c r="K41" s="31"/>
      <c r="L41" s="31"/>
      <c r="M41" s="23">
        <f t="shared" si="3"/>
        <v>0</v>
      </c>
      <c r="N41" s="30"/>
      <c r="O41" s="31"/>
      <c r="P41" s="31"/>
      <c r="Q41" s="23">
        <f t="shared" si="4"/>
        <v>0</v>
      </c>
      <c r="R41" s="30"/>
      <c r="S41" s="31"/>
      <c r="T41" s="31"/>
      <c r="U41" s="23">
        <f t="shared" si="5"/>
        <v>0</v>
      </c>
      <c r="V41" s="24">
        <f t="shared" si="6"/>
        <v>1</v>
      </c>
      <c r="W41" s="25" t="s">
        <v>8</v>
      </c>
      <c r="X41" s="49"/>
      <c r="Y41" s="82"/>
      <c r="Z41" s="82"/>
      <c r="AA41" s="82"/>
      <c r="AB41" s="82"/>
      <c r="AC41" s="82"/>
    </row>
    <row r="42">
      <c r="A42" s="26" t="s">
        <v>73</v>
      </c>
      <c r="B42" s="30"/>
      <c r="C42" s="31"/>
      <c r="D42" s="31"/>
      <c r="E42" s="23">
        <f t="shared" si="1"/>
        <v>0</v>
      </c>
      <c r="F42" s="30"/>
      <c r="G42" s="31"/>
      <c r="H42" s="31"/>
      <c r="I42" s="23">
        <f t="shared" si="2"/>
        <v>0</v>
      </c>
      <c r="J42" s="30"/>
      <c r="K42" s="31"/>
      <c r="L42" s="31"/>
      <c r="M42" s="23">
        <f t="shared" si="3"/>
        <v>0</v>
      </c>
      <c r="N42" s="30"/>
      <c r="O42" s="31"/>
      <c r="P42" s="31"/>
      <c r="Q42" s="23">
        <f t="shared" si="4"/>
        <v>0</v>
      </c>
      <c r="R42" s="30"/>
      <c r="S42" s="31"/>
      <c r="T42" s="31"/>
      <c r="U42" s="23">
        <f t="shared" si="5"/>
        <v>0</v>
      </c>
      <c r="V42" s="24">
        <f t="shared" si="6"/>
        <v>0</v>
      </c>
      <c r="W42" s="25" t="s">
        <v>22</v>
      </c>
      <c r="X42" s="25"/>
      <c r="Y42" s="83" t="s">
        <v>74</v>
      </c>
      <c r="Z42" s="84"/>
      <c r="AA42" s="84"/>
      <c r="AB42" s="84"/>
      <c r="AC42" s="85"/>
    </row>
    <row r="43">
      <c r="A43" s="26" t="s">
        <v>75</v>
      </c>
      <c r="B43" s="30"/>
      <c r="C43" s="31"/>
      <c r="D43" s="31"/>
      <c r="E43" s="23">
        <f t="shared" si="1"/>
        <v>0</v>
      </c>
      <c r="F43" s="30"/>
      <c r="G43" s="31"/>
      <c r="H43" s="31"/>
      <c r="I43" s="23">
        <f t="shared" si="2"/>
        <v>0</v>
      </c>
      <c r="J43" s="30"/>
      <c r="K43" s="31"/>
      <c r="L43" s="31"/>
      <c r="M43" s="23">
        <f t="shared" si="3"/>
        <v>0</v>
      </c>
      <c r="N43" s="30"/>
      <c r="O43" s="31"/>
      <c r="P43" s="31"/>
      <c r="Q43" s="23">
        <f t="shared" si="4"/>
        <v>0</v>
      </c>
      <c r="R43" s="30"/>
      <c r="S43" s="31"/>
      <c r="T43" s="31"/>
      <c r="U43" s="23">
        <f t="shared" si="5"/>
        <v>0</v>
      </c>
      <c r="V43" s="24">
        <f t="shared" si="6"/>
        <v>0</v>
      </c>
      <c r="W43" s="25" t="s">
        <v>25</v>
      </c>
      <c r="X43" s="49"/>
      <c r="Y43" s="74" t="s">
        <v>49</v>
      </c>
      <c r="Z43" s="75" t="s">
        <v>50</v>
      </c>
      <c r="AA43" s="75" t="s">
        <v>64</v>
      </c>
      <c r="AB43" s="75" t="s">
        <v>2</v>
      </c>
      <c r="AC43" s="75" t="s">
        <v>41</v>
      </c>
    </row>
    <row r="44">
      <c r="A44" s="26" t="s">
        <v>76</v>
      </c>
      <c r="B44" s="30"/>
      <c r="C44" s="31"/>
      <c r="D44" s="31"/>
      <c r="E44" s="23">
        <f t="shared" si="1"/>
        <v>0</v>
      </c>
      <c r="F44" s="30"/>
      <c r="G44" s="31"/>
      <c r="H44" s="31"/>
      <c r="I44" s="23">
        <f t="shared" si="2"/>
        <v>0</v>
      </c>
      <c r="J44" s="30"/>
      <c r="K44" s="31"/>
      <c r="L44" s="31"/>
      <c r="M44" s="23">
        <f t="shared" si="3"/>
        <v>0</v>
      </c>
      <c r="N44" s="30"/>
      <c r="O44" s="31"/>
      <c r="P44" s="31"/>
      <c r="Q44" s="23">
        <f t="shared" si="4"/>
        <v>0</v>
      </c>
      <c r="R44" s="30"/>
      <c r="S44" s="31"/>
      <c r="T44" s="31"/>
      <c r="U44" s="23">
        <f t="shared" si="5"/>
        <v>0</v>
      </c>
      <c r="V44" s="24">
        <f t="shared" si="6"/>
        <v>0</v>
      </c>
      <c r="W44" s="25" t="s">
        <v>22</v>
      </c>
      <c r="X44" s="49"/>
      <c r="Y44" s="76">
        <v>45179.0</v>
      </c>
      <c r="Z44" s="77"/>
      <c r="AA44" s="77"/>
      <c r="AB44" s="78" t="b">
        <v>0</v>
      </c>
      <c r="AC44" s="79" t="b">
        <v>0</v>
      </c>
    </row>
    <row r="45">
      <c r="A45" s="26" t="s">
        <v>77</v>
      </c>
      <c r="B45" s="30"/>
      <c r="C45" s="31"/>
      <c r="D45" s="31"/>
      <c r="E45" s="23">
        <f t="shared" si="1"/>
        <v>0</v>
      </c>
      <c r="F45" s="30"/>
      <c r="G45" s="31"/>
      <c r="H45" s="31"/>
      <c r="I45" s="23">
        <f t="shared" si="2"/>
        <v>0</v>
      </c>
      <c r="J45" s="30"/>
      <c r="K45" s="31"/>
      <c r="L45" s="31"/>
      <c r="M45" s="23">
        <f t="shared" si="3"/>
        <v>0</v>
      </c>
      <c r="N45" s="30"/>
      <c r="O45" s="31"/>
      <c r="P45" s="31"/>
      <c r="Q45" s="23">
        <f t="shared" si="4"/>
        <v>0</v>
      </c>
      <c r="R45" s="30"/>
      <c r="S45" s="31"/>
      <c r="T45" s="31"/>
      <c r="U45" s="23">
        <f t="shared" si="5"/>
        <v>0</v>
      </c>
      <c r="V45" s="24">
        <f t="shared" si="6"/>
        <v>0</v>
      </c>
      <c r="W45" s="25" t="s">
        <v>22</v>
      </c>
      <c r="X45" s="49"/>
      <c r="Y45" s="76">
        <v>45210.0</v>
      </c>
      <c r="Z45" s="77"/>
      <c r="AA45" s="77"/>
      <c r="AB45" s="80" t="b">
        <v>0</v>
      </c>
      <c r="AC45" s="81" t="b">
        <v>0</v>
      </c>
    </row>
    <row r="46">
      <c r="A46" s="26" t="s">
        <v>78</v>
      </c>
      <c r="B46" s="38">
        <v>1.0</v>
      </c>
      <c r="C46" s="31"/>
      <c r="D46" s="31"/>
      <c r="E46" s="23">
        <f t="shared" si="1"/>
        <v>1</v>
      </c>
      <c r="F46" s="30"/>
      <c r="G46" s="31"/>
      <c r="H46" s="64">
        <v>1.0</v>
      </c>
      <c r="I46" s="23">
        <f t="shared" si="2"/>
        <v>1</v>
      </c>
      <c r="J46" s="30"/>
      <c r="K46" s="31"/>
      <c r="L46" s="31"/>
      <c r="M46" s="23">
        <f t="shared" si="3"/>
        <v>0</v>
      </c>
      <c r="N46" s="30"/>
      <c r="O46" s="31"/>
      <c r="P46" s="31"/>
      <c r="Q46" s="23">
        <f t="shared" si="4"/>
        <v>0</v>
      </c>
      <c r="R46" s="30"/>
      <c r="S46" s="31"/>
      <c r="T46" s="31"/>
      <c r="U46" s="23">
        <f t="shared" si="5"/>
        <v>0</v>
      </c>
      <c r="V46" s="24">
        <f t="shared" si="6"/>
        <v>2</v>
      </c>
      <c r="W46" s="25" t="s">
        <v>8</v>
      </c>
      <c r="X46" s="49"/>
      <c r="Y46" s="76">
        <v>45242.0</v>
      </c>
      <c r="Z46" s="77"/>
      <c r="AA46" s="77"/>
      <c r="AB46" s="80" t="b">
        <v>0</v>
      </c>
      <c r="AC46" s="81" t="b">
        <v>0</v>
      </c>
    </row>
    <row r="47">
      <c r="A47" s="26" t="s">
        <v>79</v>
      </c>
      <c r="B47" s="30"/>
      <c r="C47" s="31"/>
      <c r="D47" s="31"/>
      <c r="E47" s="23">
        <f t="shared" si="1"/>
        <v>0</v>
      </c>
      <c r="F47" s="30"/>
      <c r="G47" s="31"/>
      <c r="H47" s="64">
        <v>1.0</v>
      </c>
      <c r="I47" s="23">
        <f t="shared" si="2"/>
        <v>1</v>
      </c>
      <c r="J47" s="30"/>
      <c r="K47" s="31"/>
      <c r="L47" s="31"/>
      <c r="M47" s="23">
        <f t="shared" si="3"/>
        <v>0</v>
      </c>
      <c r="N47" s="30"/>
      <c r="O47" s="31"/>
      <c r="P47" s="31"/>
      <c r="Q47" s="23">
        <f t="shared" si="4"/>
        <v>0</v>
      </c>
      <c r="R47" s="30"/>
      <c r="S47" s="31"/>
      <c r="T47" s="31"/>
      <c r="U47" s="23">
        <f t="shared" si="5"/>
        <v>0</v>
      </c>
      <c r="V47" s="24">
        <f t="shared" si="6"/>
        <v>1</v>
      </c>
      <c r="W47" s="25" t="s">
        <v>25</v>
      </c>
      <c r="X47" s="49"/>
      <c r="Y47" s="76">
        <v>45261.0</v>
      </c>
      <c r="Z47" s="77"/>
      <c r="AA47" s="77"/>
      <c r="AB47" s="80" t="b">
        <v>0</v>
      </c>
      <c r="AC47" s="81" t="b">
        <v>0</v>
      </c>
    </row>
    <row r="48">
      <c r="A48" s="26" t="s">
        <v>80</v>
      </c>
      <c r="B48" s="30"/>
      <c r="C48" s="31"/>
      <c r="D48" s="31"/>
      <c r="E48" s="23">
        <f t="shared" si="1"/>
        <v>0</v>
      </c>
      <c r="F48" s="30"/>
      <c r="G48" s="31"/>
      <c r="H48" s="31"/>
      <c r="I48" s="23">
        <f t="shared" si="2"/>
        <v>0</v>
      </c>
      <c r="J48" s="30"/>
      <c r="K48" s="31"/>
      <c r="L48" s="31"/>
      <c r="M48" s="23">
        <f t="shared" si="3"/>
        <v>0</v>
      </c>
      <c r="N48" s="30"/>
      <c r="O48" s="31"/>
      <c r="P48" s="31"/>
      <c r="Q48" s="23">
        <f t="shared" si="4"/>
        <v>0</v>
      </c>
      <c r="R48" s="30"/>
      <c r="S48" s="31"/>
      <c r="T48" s="31"/>
      <c r="U48" s="23">
        <f t="shared" si="5"/>
        <v>0</v>
      </c>
      <c r="V48" s="24">
        <f t="shared" si="6"/>
        <v>0</v>
      </c>
      <c r="W48" s="25" t="s">
        <v>25</v>
      </c>
      <c r="X48" s="49"/>
      <c r="Y48" s="76">
        <v>44928.0</v>
      </c>
      <c r="Z48" s="77"/>
      <c r="AA48" s="77"/>
      <c r="AB48" s="80" t="b">
        <v>0</v>
      </c>
      <c r="AC48" s="81" t="b">
        <v>0</v>
      </c>
    </row>
    <row r="49">
      <c r="A49" s="26" t="s">
        <v>81</v>
      </c>
      <c r="B49" s="30"/>
      <c r="C49" s="31"/>
      <c r="D49" s="31"/>
      <c r="E49" s="23">
        <f t="shared" si="1"/>
        <v>0</v>
      </c>
      <c r="F49" s="30"/>
      <c r="G49" s="31"/>
      <c r="H49" s="31"/>
      <c r="I49" s="23">
        <f t="shared" si="2"/>
        <v>0</v>
      </c>
      <c r="J49" s="30"/>
      <c r="K49" s="31"/>
      <c r="L49" s="31"/>
      <c r="M49" s="23">
        <f t="shared" si="3"/>
        <v>0</v>
      </c>
      <c r="N49" s="30"/>
      <c r="O49" s="31"/>
      <c r="P49" s="31"/>
      <c r="Q49" s="23">
        <f t="shared" si="4"/>
        <v>0</v>
      </c>
      <c r="R49" s="30"/>
      <c r="S49" s="31"/>
      <c r="T49" s="31"/>
      <c r="U49" s="23">
        <f t="shared" si="5"/>
        <v>0</v>
      </c>
      <c r="V49" s="24">
        <f t="shared" si="6"/>
        <v>0</v>
      </c>
      <c r="W49" s="25" t="s">
        <v>8</v>
      </c>
      <c r="X49" s="49"/>
      <c r="Y49" s="76">
        <v>44960.0</v>
      </c>
      <c r="Z49" s="77"/>
      <c r="AA49" s="77"/>
      <c r="AB49" s="80" t="b">
        <v>0</v>
      </c>
      <c r="AC49" s="81" t="b">
        <v>0</v>
      </c>
    </row>
    <row r="50">
      <c r="A50" s="26" t="s">
        <v>82</v>
      </c>
      <c r="B50" s="30"/>
      <c r="C50" s="31"/>
      <c r="D50" s="31"/>
      <c r="E50" s="23">
        <f t="shared" si="1"/>
        <v>0</v>
      </c>
      <c r="F50" s="30"/>
      <c r="G50" s="31"/>
      <c r="H50" s="31"/>
      <c r="I50" s="23">
        <f t="shared" si="2"/>
        <v>0</v>
      </c>
      <c r="J50" s="30"/>
      <c r="K50" s="31"/>
      <c r="L50" s="31"/>
      <c r="M50" s="23">
        <f t="shared" si="3"/>
        <v>0</v>
      </c>
      <c r="N50" s="30"/>
      <c r="O50" s="31"/>
      <c r="P50" s="31"/>
      <c r="Q50" s="23">
        <f t="shared" si="4"/>
        <v>0</v>
      </c>
      <c r="R50" s="30"/>
      <c r="S50" s="31"/>
      <c r="T50" s="31"/>
      <c r="U50" s="23">
        <f t="shared" si="5"/>
        <v>0</v>
      </c>
      <c r="V50" s="24">
        <f t="shared" si="6"/>
        <v>0</v>
      </c>
      <c r="W50" s="25" t="s">
        <v>8</v>
      </c>
      <c r="X50" s="49"/>
      <c r="Y50" s="76">
        <v>44989.0</v>
      </c>
      <c r="Z50" s="77"/>
      <c r="AA50" s="77"/>
      <c r="AB50" s="80" t="b">
        <v>0</v>
      </c>
      <c r="AC50" s="81" t="b">
        <v>0</v>
      </c>
    </row>
    <row r="51">
      <c r="A51" s="26" t="s">
        <v>83</v>
      </c>
      <c r="B51" s="30"/>
      <c r="C51" s="31"/>
      <c r="D51" s="31"/>
      <c r="E51" s="23">
        <f t="shared" si="1"/>
        <v>0</v>
      </c>
      <c r="F51" s="30"/>
      <c r="G51" s="31"/>
      <c r="H51" s="31"/>
      <c r="I51" s="23">
        <f t="shared" si="2"/>
        <v>0</v>
      </c>
      <c r="J51" s="30"/>
      <c r="K51" s="31"/>
      <c r="L51" s="31"/>
      <c r="M51" s="23">
        <f t="shared" si="3"/>
        <v>0</v>
      </c>
      <c r="N51" s="30"/>
      <c r="O51" s="31"/>
      <c r="P51" s="31"/>
      <c r="Q51" s="23">
        <f t="shared" si="4"/>
        <v>0</v>
      </c>
      <c r="R51" s="30"/>
      <c r="S51" s="31"/>
      <c r="T51" s="31"/>
      <c r="U51" s="23">
        <f t="shared" si="5"/>
        <v>0</v>
      </c>
      <c r="V51" s="24">
        <f t="shared" si="6"/>
        <v>0</v>
      </c>
      <c r="W51" s="25" t="s">
        <v>8</v>
      </c>
      <c r="X51" s="49"/>
      <c r="Y51" s="82"/>
      <c r="Z51" s="82"/>
      <c r="AA51" s="82"/>
      <c r="AB51" s="82"/>
      <c r="AC51" s="82"/>
    </row>
    <row r="52">
      <c r="A52" s="26" t="s">
        <v>84</v>
      </c>
      <c r="B52" s="30"/>
      <c r="C52" s="31"/>
      <c r="D52" s="31"/>
      <c r="E52" s="23">
        <f t="shared" si="1"/>
        <v>0</v>
      </c>
      <c r="F52" s="30"/>
      <c r="G52" s="31"/>
      <c r="H52" s="31"/>
      <c r="I52" s="23">
        <f t="shared" si="2"/>
        <v>0</v>
      </c>
      <c r="J52" s="30"/>
      <c r="K52" s="31"/>
      <c r="L52" s="31"/>
      <c r="M52" s="23">
        <f t="shared" si="3"/>
        <v>0</v>
      </c>
      <c r="N52" s="30"/>
      <c r="O52" s="31"/>
      <c r="P52" s="31"/>
      <c r="Q52" s="23">
        <f t="shared" si="4"/>
        <v>0</v>
      </c>
      <c r="R52" s="30"/>
      <c r="S52" s="31"/>
      <c r="T52" s="31"/>
      <c r="U52" s="23">
        <f t="shared" si="5"/>
        <v>0</v>
      </c>
      <c r="V52" s="24">
        <f t="shared" si="6"/>
        <v>0</v>
      </c>
      <c r="W52" s="25" t="s">
        <v>8</v>
      </c>
      <c r="X52" s="49"/>
      <c r="Y52" s="83" t="s">
        <v>85</v>
      </c>
      <c r="Z52" s="84"/>
      <c r="AA52" s="84"/>
      <c r="AB52" s="84"/>
      <c r="AC52" s="85"/>
    </row>
    <row r="53">
      <c r="A53" s="26" t="s">
        <v>86</v>
      </c>
      <c r="B53" s="30"/>
      <c r="C53" s="31"/>
      <c r="D53" s="31"/>
      <c r="E53" s="23">
        <f t="shared" si="1"/>
        <v>0</v>
      </c>
      <c r="F53" s="30"/>
      <c r="G53" s="31"/>
      <c r="H53" s="31"/>
      <c r="I53" s="23">
        <f t="shared" si="2"/>
        <v>0</v>
      </c>
      <c r="J53" s="30"/>
      <c r="K53" s="31"/>
      <c r="L53" s="64">
        <v>1.0</v>
      </c>
      <c r="M53" s="23">
        <f t="shared" si="3"/>
        <v>1</v>
      </c>
      <c r="N53" s="30"/>
      <c r="O53" s="31"/>
      <c r="P53" s="31"/>
      <c r="Q53" s="23">
        <f t="shared" si="4"/>
        <v>0</v>
      </c>
      <c r="R53" s="30"/>
      <c r="S53" s="31"/>
      <c r="T53" s="31"/>
      <c r="U53" s="23">
        <f t="shared" si="5"/>
        <v>0</v>
      </c>
      <c r="V53" s="24">
        <f t="shared" si="6"/>
        <v>1</v>
      </c>
      <c r="W53" s="25" t="s">
        <v>25</v>
      </c>
      <c r="X53" s="49"/>
      <c r="Y53" s="74" t="s">
        <v>49</v>
      </c>
      <c r="Z53" s="75" t="s">
        <v>50</v>
      </c>
      <c r="AA53" s="75" t="s">
        <v>64</v>
      </c>
      <c r="AB53" s="75" t="s">
        <v>2</v>
      </c>
      <c r="AC53" s="75" t="s">
        <v>41</v>
      </c>
    </row>
    <row r="54">
      <c r="A54" s="26" t="s">
        <v>87</v>
      </c>
      <c r="B54" s="30"/>
      <c r="C54" s="31"/>
      <c r="D54" s="31"/>
      <c r="E54" s="23">
        <f t="shared" si="1"/>
        <v>0</v>
      </c>
      <c r="F54" s="30"/>
      <c r="G54" s="31"/>
      <c r="H54" s="31"/>
      <c r="I54" s="23">
        <f t="shared" si="2"/>
        <v>0</v>
      </c>
      <c r="J54" s="30"/>
      <c r="K54" s="31"/>
      <c r="L54" s="31"/>
      <c r="M54" s="23">
        <f t="shared" si="3"/>
        <v>0</v>
      </c>
      <c r="N54" s="30"/>
      <c r="O54" s="31"/>
      <c r="P54" s="31"/>
      <c r="Q54" s="23">
        <f t="shared" si="4"/>
        <v>0</v>
      </c>
      <c r="R54" s="30"/>
      <c r="S54" s="31"/>
      <c r="T54" s="31"/>
      <c r="U54" s="23">
        <f t="shared" si="5"/>
        <v>0</v>
      </c>
      <c r="V54" s="24">
        <f t="shared" si="6"/>
        <v>0</v>
      </c>
      <c r="W54" s="25" t="s">
        <v>22</v>
      </c>
      <c r="X54" s="49"/>
      <c r="Y54" s="76">
        <v>45179.0</v>
      </c>
      <c r="Z54" s="77"/>
      <c r="AA54" s="77"/>
      <c r="AB54" s="78" t="b">
        <v>0</v>
      </c>
      <c r="AC54" s="79" t="b">
        <v>0</v>
      </c>
    </row>
    <row r="55">
      <c r="A55" s="26" t="s">
        <v>88</v>
      </c>
      <c r="B55" s="30"/>
      <c r="C55" s="31"/>
      <c r="D55" s="31"/>
      <c r="E55" s="23">
        <f t="shared" si="1"/>
        <v>0</v>
      </c>
      <c r="F55" s="30"/>
      <c r="G55" s="31"/>
      <c r="H55" s="31"/>
      <c r="I55" s="23">
        <f t="shared" si="2"/>
        <v>0</v>
      </c>
      <c r="J55" s="30"/>
      <c r="K55" s="31"/>
      <c r="L55" s="31"/>
      <c r="M55" s="23">
        <f t="shared" si="3"/>
        <v>0</v>
      </c>
      <c r="N55" s="30"/>
      <c r="O55" s="31"/>
      <c r="P55" s="31"/>
      <c r="Q55" s="23">
        <f t="shared" si="4"/>
        <v>0</v>
      </c>
      <c r="R55" s="30"/>
      <c r="S55" s="31"/>
      <c r="T55" s="31"/>
      <c r="U55" s="23">
        <f t="shared" si="5"/>
        <v>0</v>
      </c>
      <c r="V55" s="24">
        <f t="shared" si="6"/>
        <v>0</v>
      </c>
      <c r="W55" s="25" t="s">
        <v>25</v>
      </c>
      <c r="X55" s="49"/>
      <c r="Y55" s="76">
        <v>45210.0</v>
      </c>
      <c r="Z55" s="77"/>
      <c r="AA55" s="77"/>
      <c r="AB55" s="80" t="b">
        <v>0</v>
      </c>
      <c r="AC55" s="81" t="b">
        <v>0</v>
      </c>
    </row>
    <row r="56">
      <c r="A56" s="26" t="s">
        <v>89</v>
      </c>
      <c r="B56" s="30"/>
      <c r="C56" s="31"/>
      <c r="D56" s="31"/>
      <c r="E56" s="23">
        <f t="shared" si="1"/>
        <v>0</v>
      </c>
      <c r="F56" s="38">
        <v>1.0</v>
      </c>
      <c r="G56" s="31"/>
      <c r="H56" s="64">
        <v>1.0</v>
      </c>
      <c r="I56" s="23">
        <f t="shared" si="2"/>
        <v>2</v>
      </c>
      <c r="J56" s="38"/>
      <c r="K56" s="31"/>
      <c r="L56" s="31"/>
      <c r="M56" s="23">
        <f t="shared" si="3"/>
        <v>0</v>
      </c>
      <c r="N56" s="38">
        <v>1.0</v>
      </c>
      <c r="O56" s="31"/>
      <c r="P56" s="31"/>
      <c r="Q56" s="23">
        <f t="shared" si="4"/>
        <v>1</v>
      </c>
      <c r="R56" s="30"/>
      <c r="S56" s="31"/>
      <c r="T56" s="31"/>
      <c r="U56" s="23">
        <f t="shared" si="5"/>
        <v>0</v>
      </c>
      <c r="V56" s="24">
        <f t="shared" si="6"/>
        <v>3</v>
      </c>
      <c r="W56" s="25" t="s">
        <v>20</v>
      </c>
      <c r="X56" s="49"/>
      <c r="Y56" s="76">
        <v>45242.0</v>
      </c>
      <c r="Z56" s="77"/>
      <c r="AA56" s="77"/>
      <c r="AB56" s="80" t="b">
        <v>0</v>
      </c>
      <c r="AC56" s="81" t="b">
        <v>0</v>
      </c>
    </row>
    <row r="57">
      <c r="A57" s="26" t="s">
        <v>90</v>
      </c>
      <c r="B57" s="38">
        <v>1.0</v>
      </c>
      <c r="C57" s="31"/>
      <c r="D57" s="31"/>
      <c r="E57" s="23">
        <f t="shared" si="1"/>
        <v>1</v>
      </c>
      <c r="F57" s="30"/>
      <c r="G57" s="31"/>
      <c r="H57" s="64">
        <v>1.0</v>
      </c>
      <c r="I57" s="23">
        <f t="shared" si="2"/>
        <v>1</v>
      </c>
      <c r="J57" s="30"/>
      <c r="K57" s="31"/>
      <c r="L57" s="31"/>
      <c r="M57" s="23">
        <f t="shared" si="3"/>
        <v>0</v>
      </c>
      <c r="N57" s="30"/>
      <c r="O57" s="31"/>
      <c r="P57" s="31"/>
      <c r="Q57" s="23">
        <f t="shared" si="4"/>
        <v>0</v>
      </c>
      <c r="R57" s="30"/>
      <c r="S57" s="31"/>
      <c r="T57" s="31"/>
      <c r="U57" s="23">
        <f t="shared" si="5"/>
        <v>0</v>
      </c>
      <c r="V57" s="24">
        <f t="shared" si="6"/>
        <v>2</v>
      </c>
      <c r="W57" s="25" t="s">
        <v>25</v>
      </c>
      <c r="X57" s="49"/>
      <c r="Y57" s="76">
        <v>45261.0</v>
      </c>
      <c r="Z57" s="77"/>
      <c r="AA57" s="77"/>
      <c r="AB57" s="80" t="b">
        <v>0</v>
      </c>
      <c r="AC57" s="81" t="b">
        <v>0</v>
      </c>
    </row>
    <row r="58">
      <c r="A58" s="26" t="s">
        <v>25</v>
      </c>
      <c r="B58" s="30"/>
      <c r="C58" s="31"/>
      <c r="D58" s="64">
        <v>1.0</v>
      </c>
      <c r="E58" s="23">
        <f t="shared" si="1"/>
        <v>1</v>
      </c>
      <c r="F58" s="30"/>
      <c r="G58" s="31"/>
      <c r="H58" s="31"/>
      <c r="I58" s="23">
        <f t="shared" si="2"/>
        <v>0</v>
      </c>
      <c r="J58" s="38">
        <v>1.0</v>
      </c>
      <c r="K58" s="31"/>
      <c r="L58" s="31"/>
      <c r="M58" s="23">
        <f t="shared" si="3"/>
        <v>1</v>
      </c>
      <c r="N58" s="30"/>
      <c r="O58" s="31"/>
      <c r="P58" s="31"/>
      <c r="Q58" s="23">
        <f t="shared" si="4"/>
        <v>0</v>
      </c>
      <c r="R58" s="30"/>
      <c r="S58" s="31"/>
      <c r="T58" s="31"/>
      <c r="U58" s="23">
        <f t="shared" si="5"/>
        <v>0</v>
      </c>
      <c r="V58" s="24">
        <f t="shared" si="6"/>
        <v>2</v>
      </c>
      <c r="W58" s="25" t="s">
        <v>8</v>
      </c>
      <c r="X58" s="49"/>
      <c r="Y58" s="76">
        <v>44928.0</v>
      </c>
      <c r="Z58" s="77"/>
      <c r="AA58" s="77"/>
      <c r="AB58" s="80" t="b">
        <v>0</v>
      </c>
      <c r="AC58" s="81" t="b">
        <v>0</v>
      </c>
    </row>
    <row r="59">
      <c r="A59" s="26" t="s">
        <v>91</v>
      </c>
      <c r="B59" s="30"/>
      <c r="C59" s="31"/>
      <c r="D59" s="31"/>
      <c r="E59" s="23">
        <f t="shared" si="1"/>
        <v>0</v>
      </c>
      <c r="F59" s="30"/>
      <c r="G59" s="31"/>
      <c r="H59" s="31"/>
      <c r="I59" s="23">
        <f t="shared" si="2"/>
        <v>0</v>
      </c>
      <c r="J59" s="30"/>
      <c r="K59" s="31"/>
      <c r="L59" s="31"/>
      <c r="M59" s="23">
        <f t="shared" si="3"/>
        <v>0</v>
      </c>
      <c r="N59" s="30"/>
      <c r="O59" s="31"/>
      <c r="P59" s="31"/>
      <c r="Q59" s="23">
        <f t="shared" si="4"/>
        <v>0</v>
      </c>
      <c r="R59" s="30"/>
      <c r="S59" s="31"/>
      <c r="T59" s="31"/>
      <c r="U59" s="23">
        <f t="shared" si="5"/>
        <v>0</v>
      </c>
      <c r="V59" s="24">
        <f t="shared" si="6"/>
        <v>0</v>
      </c>
      <c r="W59" s="25" t="s">
        <v>25</v>
      </c>
      <c r="X59" s="49"/>
      <c r="Y59" s="76">
        <v>44960.0</v>
      </c>
      <c r="Z59" s="77"/>
      <c r="AA59" s="77"/>
      <c r="AB59" s="80" t="b">
        <v>0</v>
      </c>
      <c r="AC59" s="81" t="b">
        <v>0</v>
      </c>
    </row>
    <row r="60">
      <c r="A60" s="86" t="s">
        <v>92</v>
      </c>
      <c r="B60" s="38">
        <v>1.0</v>
      </c>
      <c r="C60" s="31"/>
      <c r="D60" s="64">
        <v>1.0</v>
      </c>
      <c r="E60" s="23">
        <f t="shared" si="1"/>
        <v>2</v>
      </c>
      <c r="F60" s="38">
        <v>2.0</v>
      </c>
      <c r="G60" s="31"/>
      <c r="H60" s="31"/>
      <c r="I60" s="23">
        <f t="shared" si="2"/>
        <v>2</v>
      </c>
      <c r="J60" s="38">
        <v>2.0</v>
      </c>
      <c r="K60" s="31"/>
      <c r="L60" s="31"/>
      <c r="M60" s="23">
        <f t="shared" si="3"/>
        <v>2</v>
      </c>
      <c r="N60" s="30"/>
      <c r="O60" s="31"/>
      <c r="P60" s="31"/>
      <c r="Q60" s="23">
        <f t="shared" si="4"/>
        <v>0</v>
      </c>
      <c r="R60" s="30"/>
      <c r="S60" s="31"/>
      <c r="T60" s="31"/>
      <c r="U60" s="23">
        <f t="shared" si="5"/>
        <v>0</v>
      </c>
      <c r="V60" s="24">
        <f t="shared" si="6"/>
        <v>6</v>
      </c>
      <c r="W60" s="25" t="s">
        <v>8</v>
      </c>
      <c r="X60" s="49"/>
      <c r="Y60" s="76">
        <v>44989.0</v>
      </c>
      <c r="Z60" s="77"/>
      <c r="AA60" s="77"/>
      <c r="AB60" s="80" t="b">
        <v>0</v>
      </c>
      <c r="AC60" s="81" t="b">
        <v>0</v>
      </c>
    </row>
    <row r="61">
      <c r="A61" s="26" t="s">
        <v>93</v>
      </c>
      <c r="B61" s="30"/>
      <c r="C61" s="31"/>
      <c r="D61" s="31"/>
      <c r="E61" s="23">
        <f t="shared" si="1"/>
        <v>0</v>
      </c>
      <c r="F61" s="30"/>
      <c r="G61" s="31"/>
      <c r="H61" s="31"/>
      <c r="I61" s="23">
        <f t="shared" si="2"/>
        <v>0</v>
      </c>
      <c r="J61" s="30"/>
      <c r="K61" s="31"/>
      <c r="L61" s="31"/>
      <c r="M61" s="23">
        <f t="shared" si="3"/>
        <v>0</v>
      </c>
      <c r="N61" s="30"/>
      <c r="O61" s="31"/>
      <c r="P61" s="31"/>
      <c r="Q61" s="23">
        <f t="shared" si="4"/>
        <v>0</v>
      </c>
      <c r="R61" s="30"/>
      <c r="S61" s="31"/>
      <c r="T61" s="31"/>
      <c r="U61" s="23">
        <f t="shared" si="5"/>
        <v>0</v>
      </c>
      <c r="V61" s="24">
        <f t="shared" si="6"/>
        <v>0</v>
      </c>
      <c r="W61" s="25" t="s">
        <v>8</v>
      </c>
      <c r="X61" s="49"/>
      <c r="Y61" s="82"/>
      <c r="Z61" s="82"/>
      <c r="AA61" s="82"/>
      <c r="AB61" s="82"/>
      <c r="AC61" s="82"/>
    </row>
    <row r="62">
      <c r="A62" s="70" t="s">
        <v>94</v>
      </c>
      <c r="B62" s="30"/>
      <c r="C62" s="31"/>
      <c r="D62" s="31"/>
      <c r="E62" s="23">
        <f t="shared" si="1"/>
        <v>0</v>
      </c>
      <c r="F62" s="30"/>
      <c r="G62" s="31"/>
      <c r="H62" s="31"/>
      <c r="I62" s="23">
        <f t="shared" si="2"/>
        <v>0</v>
      </c>
      <c r="J62" s="30"/>
      <c r="K62" s="31"/>
      <c r="L62" s="31"/>
      <c r="M62" s="23">
        <f t="shared" si="3"/>
        <v>0</v>
      </c>
      <c r="N62" s="30"/>
      <c r="O62" s="31"/>
      <c r="P62" s="31"/>
      <c r="Q62" s="23">
        <f t="shared" si="4"/>
        <v>0</v>
      </c>
      <c r="R62" s="30"/>
      <c r="S62" s="31"/>
      <c r="T62" s="31"/>
      <c r="U62" s="23">
        <f t="shared" si="5"/>
        <v>0</v>
      </c>
      <c r="V62" s="24">
        <f t="shared" si="6"/>
        <v>0</v>
      </c>
      <c r="W62" s="25" t="s">
        <v>8</v>
      </c>
      <c r="X62" s="49"/>
      <c r="Y62" s="83" t="s">
        <v>95</v>
      </c>
      <c r="Z62" s="84"/>
      <c r="AA62" s="84"/>
      <c r="AB62" s="84"/>
      <c r="AC62" s="85"/>
    </row>
    <row r="63">
      <c r="A63" s="26" t="s">
        <v>96</v>
      </c>
      <c r="B63" s="30"/>
      <c r="C63" s="31"/>
      <c r="D63" s="31"/>
      <c r="E63" s="23">
        <f t="shared" si="1"/>
        <v>0</v>
      </c>
      <c r="F63" s="30"/>
      <c r="G63" s="31"/>
      <c r="H63" s="64">
        <v>1.0</v>
      </c>
      <c r="I63" s="23">
        <f t="shared" si="2"/>
        <v>1</v>
      </c>
      <c r="J63" s="30"/>
      <c r="K63" s="31"/>
      <c r="L63" s="31"/>
      <c r="M63" s="23">
        <f t="shared" si="3"/>
        <v>0</v>
      </c>
      <c r="N63" s="30"/>
      <c r="O63" s="31"/>
      <c r="P63" s="31"/>
      <c r="Q63" s="23">
        <f t="shared" si="4"/>
        <v>0</v>
      </c>
      <c r="R63" s="30"/>
      <c r="S63" s="31"/>
      <c r="T63" s="31"/>
      <c r="U63" s="23">
        <f t="shared" si="5"/>
        <v>0</v>
      </c>
      <c r="V63" s="24">
        <f t="shared" si="6"/>
        <v>1</v>
      </c>
      <c r="W63" s="25" t="s">
        <v>8</v>
      </c>
      <c r="X63" s="49"/>
      <c r="Y63" s="74" t="s">
        <v>49</v>
      </c>
      <c r="Z63" s="87" t="s">
        <v>50</v>
      </c>
      <c r="AA63" s="87" t="s">
        <v>51</v>
      </c>
      <c r="AB63" s="87" t="s">
        <v>2</v>
      </c>
      <c r="AC63" s="87" t="s">
        <v>41</v>
      </c>
    </row>
    <row r="64">
      <c r="A64" s="88" t="s">
        <v>97</v>
      </c>
      <c r="B64" s="30"/>
      <c r="C64" s="31"/>
      <c r="D64" s="31"/>
      <c r="E64" s="23">
        <f t="shared" si="1"/>
        <v>0</v>
      </c>
      <c r="F64" s="30"/>
      <c r="G64" s="31"/>
      <c r="H64" s="31"/>
      <c r="I64" s="23">
        <f t="shared" si="2"/>
        <v>0</v>
      </c>
      <c r="J64" s="30"/>
      <c r="K64" s="31"/>
      <c r="L64" s="31"/>
      <c r="M64" s="23">
        <f t="shared" si="3"/>
        <v>0</v>
      </c>
      <c r="N64" s="30"/>
      <c r="O64" s="31"/>
      <c r="P64" s="31"/>
      <c r="Q64" s="23">
        <f t="shared" si="4"/>
        <v>0</v>
      </c>
      <c r="R64" s="30"/>
      <c r="S64" s="31"/>
      <c r="T64" s="31"/>
      <c r="U64" s="23">
        <f t="shared" si="5"/>
        <v>0</v>
      </c>
      <c r="V64" s="24">
        <f t="shared" si="6"/>
        <v>0</v>
      </c>
      <c r="W64" s="25" t="s">
        <v>8</v>
      </c>
      <c r="X64" s="49"/>
      <c r="Y64" s="89">
        <v>45179.0</v>
      </c>
      <c r="Z64" s="90"/>
      <c r="AA64" s="90"/>
      <c r="AB64" s="78" t="b">
        <v>0</v>
      </c>
      <c r="AC64" s="79" t="b">
        <v>0</v>
      </c>
    </row>
    <row r="65">
      <c r="A65" s="26" t="s">
        <v>98</v>
      </c>
      <c r="B65" s="30"/>
      <c r="C65" s="31"/>
      <c r="D65" s="64">
        <v>1.0</v>
      </c>
      <c r="E65" s="23">
        <f t="shared" si="1"/>
        <v>1</v>
      </c>
      <c r="F65" s="30"/>
      <c r="G65" s="31"/>
      <c r="H65" s="31"/>
      <c r="I65" s="23">
        <f t="shared" si="2"/>
        <v>0</v>
      </c>
      <c r="J65" s="38">
        <v>1.0</v>
      </c>
      <c r="K65" s="31"/>
      <c r="L65" s="31"/>
      <c r="M65" s="23">
        <f t="shared" si="3"/>
        <v>1</v>
      </c>
      <c r="N65" s="30"/>
      <c r="O65" s="31"/>
      <c r="P65" s="31"/>
      <c r="Q65" s="23">
        <f t="shared" si="4"/>
        <v>0</v>
      </c>
      <c r="R65" s="30"/>
      <c r="S65" s="31"/>
      <c r="T65" s="31"/>
      <c r="U65" s="23">
        <f t="shared" si="5"/>
        <v>0</v>
      </c>
      <c r="V65" s="24">
        <f t="shared" si="6"/>
        <v>2</v>
      </c>
      <c r="W65" s="25" t="s">
        <v>22</v>
      </c>
      <c r="X65" s="49"/>
      <c r="Y65" s="89">
        <v>45210.0</v>
      </c>
      <c r="Z65" s="91"/>
      <c r="AA65" s="91"/>
      <c r="AB65" s="80" t="b">
        <v>0</v>
      </c>
      <c r="AC65" s="81" t="b">
        <v>0</v>
      </c>
    </row>
    <row r="66">
      <c r="A66" s="26" t="s">
        <v>99</v>
      </c>
      <c r="B66" s="30"/>
      <c r="C66" s="31"/>
      <c r="D66" s="64">
        <v>1.0</v>
      </c>
      <c r="E66" s="23">
        <f t="shared" si="1"/>
        <v>1</v>
      </c>
      <c r="F66" s="30"/>
      <c r="G66" s="31"/>
      <c r="H66" s="31"/>
      <c r="I66" s="23">
        <f t="shared" si="2"/>
        <v>0</v>
      </c>
      <c r="J66" s="30"/>
      <c r="K66" s="31"/>
      <c r="L66" s="31"/>
      <c r="M66" s="23">
        <f t="shared" si="3"/>
        <v>0</v>
      </c>
      <c r="N66" s="30"/>
      <c r="O66" s="31"/>
      <c r="P66" s="31"/>
      <c r="Q66" s="23">
        <f t="shared" si="4"/>
        <v>0</v>
      </c>
      <c r="R66" s="30"/>
      <c r="S66" s="31"/>
      <c r="T66" s="31"/>
      <c r="U66" s="23">
        <f t="shared" si="5"/>
        <v>0</v>
      </c>
      <c r="V66" s="24">
        <f t="shared" si="6"/>
        <v>1</v>
      </c>
      <c r="W66" s="25" t="s">
        <v>8</v>
      </c>
      <c r="X66" s="49"/>
      <c r="Y66" s="89">
        <v>45242.0</v>
      </c>
      <c r="Z66" s="91"/>
      <c r="AA66" s="91"/>
      <c r="AB66" s="80" t="b">
        <v>0</v>
      </c>
      <c r="AC66" s="81" t="b">
        <v>0</v>
      </c>
    </row>
    <row r="67">
      <c r="A67" s="26" t="s">
        <v>100</v>
      </c>
      <c r="B67" s="30"/>
      <c r="C67" s="31"/>
      <c r="D67" s="31"/>
      <c r="E67" s="23">
        <f t="shared" si="1"/>
        <v>0</v>
      </c>
      <c r="F67" s="30"/>
      <c r="G67" s="31"/>
      <c r="H67" s="31"/>
      <c r="I67" s="23">
        <f t="shared" si="2"/>
        <v>0</v>
      </c>
      <c r="J67" s="30"/>
      <c r="K67" s="31"/>
      <c r="L67" s="31"/>
      <c r="M67" s="23">
        <f t="shared" si="3"/>
        <v>0</v>
      </c>
      <c r="N67" s="30"/>
      <c r="O67" s="31"/>
      <c r="P67" s="31"/>
      <c r="Q67" s="23">
        <f t="shared" si="4"/>
        <v>0</v>
      </c>
      <c r="R67" s="30"/>
      <c r="S67" s="31"/>
      <c r="T67" s="31"/>
      <c r="U67" s="23">
        <f t="shared" si="5"/>
        <v>0</v>
      </c>
      <c r="V67" s="24">
        <f t="shared" si="6"/>
        <v>0</v>
      </c>
      <c r="W67" s="25" t="s">
        <v>22</v>
      </c>
      <c r="X67" s="25"/>
      <c r="Y67" s="89">
        <v>45261.0</v>
      </c>
      <c r="Z67" s="91"/>
      <c r="AA67" s="91"/>
      <c r="AB67" s="80" t="b">
        <v>0</v>
      </c>
      <c r="AC67" s="81" t="b">
        <v>0</v>
      </c>
    </row>
    <row r="68">
      <c r="A68" s="26" t="s">
        <v>101</v>
      </c>
      <c r="B68" s="30"/>
      <c r="C68" s="31"/>
      <c r="D68" s="31"/>
      <c r="E68" s="23">
        <f t="shared" si="1"/>
        <v>0</v>
      </c>
      <c r="F68" s="30"/>
      <c r="G68" s="31"/>
      <c r="H68" s="31"/>
      <c r="I68" s="23">
        <f t="shared" si="2"/>
        <v>0</v>
      </c>
      <c r="J68" s="30"/>
      <c r="K68" s="31"/>
      <c r="L68" s="31"/>
      <c r="M68" s="23">
        <f t="shared" si="3"/>
        <v>0</v>
      </c>
      <c r="N68" s="30"/>
      <c r="O68" s="31"/>
      <c r="P68" s="31"/>
      <c r="Q68" s="23">
        <f t="shared" si="4"/>
        <v>0</v>
      </c>
      <c r="R68" s="30"/>
      <c r="S68" s="31"/>
      <c r="T68" s="31"/>
      <c r="U68" s="23">
        <f t="shared" si="5"/>
        <v>0</v>
      </c>
      <c r="V68" s="24">
        <f t="shared" si="6"/>
        <v>0</v>
      </c>
      <c r="W68" s="25" t="s">
        <v>8</v>
      </c>
      <c r="X68" s="49"/>
      <c r="Y68" s="89">
        <v>44928.0</v>
      </c>
      <c r="Z68" s="91"/>
      <c r="AA68" s="91"/>
      <c r="AB68" s="80" t="b">
        <v>0</v>
      </c>
      <c r="AC68" s="81" t="b">
        <v>0</v>
      </c>
    </row>
    <row r="69">
      <c r="A69" s="26" t="s">
        <v>102</v>
      </c>
      <c r="B69" s="30"/>
      <c r="C69" s="31"/>
      <c r="D69" s="64">
        <v>1.0</v>
      </c>
      <c r="E69" s="23">
        <f t="shared" si="1"/>
        <v>1</v>
      </c>
      <c r="F69" s="30"/>
      <c r="G69" s="31"/>
      <c r="H69" s="31"/>
      <c r="I69" s="23">
        <f t="shared" si="2"/>
        <v>0</v>
      </c>
      <c r="J69" s="30"/>
      <c r="K69" s="31"/>
      <c r="L69" s="64">
        <v>1.0</v>
      </c>
      <c r="M69" s="23">
        <f t="shared" si="3"/>
        <v>1</v>
      </c>
      <c r="N69" s="30"/>
      <c r="O69" s="31"/>
      <c r="P69" s="64">
        <v>1.0</v>
      </c>
      <c r="Q69" s="23">
        <f t="shared" si="4"/>
        <v>1</v>
      </c>
      <c r="R69" s="38">
        <v>1.0</v>
      </c>
      <c r="S69" s="31"/>
      <c r="T69" s="64">
        <v>1.0</v>
      </c>
      <c r="U69" s="23">
        <f t="shared" si="5"/>
        <v>2</v>
      </c>
      <c r="V69" s="24">
        <f t="shared" si="6"/>
        <v>5</v>
      </c>
      <c r="W69" s="25" t="s">
        <v>22</v>
      </c>
      <c r="X69" s="49"/>
      <c r="Y69" s="89">
        <v>44960.0</v>
      </c>
      <c r="Z69" s="91"/>
      <c r="AA69" s="91"/>
      <c r="AB69" s="80" t="b">
        <v>0</v>
      </c>
      <c r="AC69" s="81" t="b">
        <v>0</v>
      </c>
    </row>
    <row r="70">
      <c r="A70" s="26" t="s">
        <v>103</v>
      </c>
      <c r="B70" s="30"/>
      <c r="C70" s="31"/>
      <c r="D70" s="31"/>
      <c r="E70" s="23">
        <f t="shared" si="1"/>
        <v>0</v>
      </c>
      <c r="F70" s="30"/>
      <c r="G70" s="31"/>
      <c r="H70" s="31"/>
      <c r="I70" s="23">
        <f t="shared" si="2"/>
        <v>0</v>
      </c>
      <c r="J70" s="30"/>
      <c r="K70" s="31"/>
      <c r="L70" s="31"/>
      <c r="M70" s="23">
        <f t="shared" si="3"/>
        <v>0</v>
      </c>
      <c r="N70" s="30"/>
      <c r="O70" s="31"/>
      <c r="P70" s="31"/>
      <c r="Q70" s="23">
        <f t="shared" si="4"/>
        <v>0</v>
      </c>
      <c r="R70" s="30"/>
      <c r="S70" s="31"/>
      <c r="T70" s="31"/>
      <c r="U70" s="23">
        <f t="shared" si="5"/>
        <v>0</v>
      </c>
      <c r="V70" s="24">
        <f t="shared" si="6"/>
        <v>0</v>
      </c>
      <c r="W70" s="25" t="s">
        <v>8</v>
      </c>
      <c r="X70" s="49"/>
      <c r="Y70" s="89">
        <v>44989.0</v>
      </c>
      <c r="Z70" s="91"/>
      <c r="AA70" s="91"/>
      <c r="AB70" s="80" t="b">
        <v>0</v>
      </c>
      <c r="AC70" s="81" t="b">
        <v>0</v>
      </c>
    </row>
    <row r="71">
      <c r="A71" s="26" t="s">
        <v>104</v>
      </c>
      <c r="B71" s="30"/>
      <c r="C71" s="31"/>
      <c r="D71" s="31"/>
      <c r="E71" s="23">
        <f t="shared" si="1"/>
        <v>0</v>
      </c>
      <c r="F71" s="30"/>
      <c r="G71" s="31"/>
      <c r="H71" s="64">
        <v>1.0</v>
      </c>
      <c r="I71" s="23">
        <f t="shared" si="2"/>
        <v>1</v>
      </c>
      <c r="J71" s="30"/>
      <c r="K71" s="31"/>
      <c r="L71" s="31"/>
      <c r="M71" s="23">
        <f t="shared" si="3"/>
        <v>0</v>
      </c>
      <c r="N71" s="30"/>
      <c r="O71" s="31"/>
      <c r="P71" s="64">
        <v>1.0</v>
      </c>
      <c r="Q71" s="23">
        <f t="shared" si="4"/>
        <v>1</v>
      </c>
      <c r="R71" s="30"/>
      <c r="S71" s="31"/>
      <c r="T71" s="31"/>
      <c r="U71" s="23">
        <f t="shared" si="5"/>
        <v>0</v>
      </c>
      <c r="V71" s="24">
        <f t="shared" si="6"/>
        <v>2</v>
      </c>
      <c r="W71" s="25" t="s">
        <v>23</v>
      </c>
      <c r="X71" s="49"/>
      <c r="Y71" s="49"/>
      <c r="Z71" s="49"/>
      <c r="AA71" s="49"/>
      <c r="AB71" s="49"/>
      <c r="AC71" s="49"/>
    </row>
    <row r="72">
      <c r="A72" s="26" t="s">
        <v>105</v>
      </c>
      <c r="B72" s="30"/>
      <c r="C72" s="31"/>
      <c r="D72" s="31"/>
      <c r="E72" s="23">
        <f t="shared" si="1"/>
        <v>0</v>
      </c>
      <c r="F72" s="30"/>
      <c r="G72" s="31"/>
      <c r="H72" s="31"/>
      <c r="I72" s="23">
        <f t="shared" si="2"/>
        <v>0</v>
      </c>
      <c r="J72" s="30"/>
      <c r="K72" s="31"/>
      <c r="L72" s="31"/>
      <c r="M72" s="23">
        <f t="shared" si="3"/>
        <v>0</v>
      </c>
      <c r="N72" s="30"/>
      <c r="O72" s="31"/>
      <c r="P72" s="31"/>
      <c r="Q72" s="23">
        <f t="shared" si="4"/>
        <v>0</v>
      </c>
      <c r="R72" s="30"/>
      <c r="S72" s="31"/>
      <c r="T72" s="31"/>
      <c r="U72" s="23">
        <f t="shared" si="5"/>
        <v>0</v>
      </c>
      <c r="V72" s="24">
        <f t="shared" si="6"/>
        <v>0</v>
      </c>
      <c r="W72" s="25" t="s">
        <v>23</v>
      </c>
      <c r="X72" s="25"/>
    </row>
    <row r="73">
      <c r="A73" s="26" t="s">
        <v>106</v>
      </c>
      <c r="B73" s="38">
        <v>1.0</v>
      </c>
      <c r="C73" s="31"/>
      <c r="D73" s="31"/>
      <c r="E73" s="23">
        <f t="shared" si="1"/>
        <v>1</v>
      </c>
      <c r="F73" s="30"/>
      <c r="G73" s="31"/>
      <c r="H73" s="31"/>
      <c r="I73" s="23">
        <f t="shared" si="2"/>
        <v>0</v>
      </c>
      <c r="J73" s="30"/>
      <c r="K73" s="31"/>
      <c r="L73" s="31"/>
      <c r="M73" s="23">
        <f t="shared" si="3"/>
        <v>0</v>
      </c>
      <c r="N73" s="30"/>
      <c r="O73" s="31"/>
      <c r="P73" s="31"/>
      <c r="Q73" s="23">
        <f t="shared" si="4"/>
        <v>0</v>
      </c>
      <c r="R73" s="30"/>
      <c r="S73" s="31"/>
      <c r="T73" s="31"/>
      <c r="U73" s="23">
        <f t="shared" si="5"/>
        <v>0</v>
      </c>
      <c r="V73" s="24">
        <f t="shared" si="6"/>
        <v>1</v>
      </c>
      <c r="W73" s="25" t="s">
        <v>8</v>
      </c>
      <c r="X73" s="49"/>
    </row>
    <row r="74">
      <c r="A74" s="26" t="s">
        <v>107</v>
      </c>
      <c r="B74" s="30"/>
      <c r="C74" s="31"/>
      <c r="D74" s="31"/>
      <c r="E74" s="23">
        <f t="shared" si="1"/>
        <v>0</v>
      </c>
      <c r="F74" s="30"/>
      <c r="G74" s="31"/>
      <c r="H74" s="64">
        <v>1.0</v>
      </c>
      <c r="I74" s="23">
        <f t="shared" si="2"/>
        <v>1</v>
      </c>
      <c r="J74" s="30"/>
      <c r="K74" s="31"/>
      <c r="L74" s="31"/>
      <c r="M74" s="23">
        <f t="shared" si="3"/>
        <v>0</v>
      </c>
      <c r="N74" s="30"/>
      <c r="O74" s="31"/>
      <c r="P74" s="64">
        <v>1.0</v>
      </c>
      <c r="Q74" s="23">
        <f t="shared" si="4"/>
        <v>1</v>
      </c>
      <c r="R74" s="30"/>
      <c r="S74" s="31"/>
      <c r="T74" s="31"/>
      <c r="U74" s="23">
        <f t="shared" si="5"/>
        <v>0</v>
      </c>
      <c r="V74" s="24">
        <f t="shared" si="6"/>
        <v>2</v>
      </c>
      <c r="W74" s="25" t="s">
        <v>25</v>
      </c>
      <c r="X74" s="49"/>
      <c r="Y74" s="92"/>
      <c r="Z74" s="92"/>
      <c r="AA74" s="92"/>
      <c r="AB74" s="92"/>
      <c r="AC74" s="92"/>
    </row>
    <row r="75">
      <c r="A75" s="70" t="s">
        <v>108</v>
      </c>
      <c r="B75" s="30"/>
      <c r="C75" s="31"/>
      <c r="D75" s="31"/>
      <c r="E75" s="23">
        <f t="shared" si="1"/>
        <v>0</v>
      </c>
      <c r="F75" s="30"/>
      <c r="G75" s="31"/>
      <c r="H75" s="31"/>
      <c r="I75" s="23">
        <f t="shared" si="2"/>
        <v>0</v>
      </c>
      <c r="J75" s="30"/>
      <c r="K75" s="31"/>
      <c r="L75" s="31"/>
      <c r="M75" s="23">
        <f t="shared" si="3"/>
        <v>0</v>
      </c>
      <c r="N75" s="30"/>
      <c r="O75" s="31"/>
      <c r="P75" s="31"/>
      <c r="Q75" s="23">
        <f t="shared" si="4"/>
        <v>0</v>
      </c>
      <c r="R75" s="30"/>
      <c r="S75" s="31"/>
      <c r="T75" s="31"/>
      <c r="U75" s="23">
        <f t="shared" si="5"/>
        <v>0</v>
      </c>
      <c r="V75" s="24">
        <f t="shared" si="6"/>
        <v>0</v>
      </c>
      <c r="W75" s="25" t="s">
        <v>22</v>
      </c>
      <c r="X75" s="49"/>
      <c r="Y75" s="92"/>
      <c r="Z75" s="92"/>
      <c r="AA75" s="93"/>
      <c r="AB75" s="49"/>
      <c r="AC75" s="49"/>
    </row>
    <row r="76">
      <c r="A76" s="26" t="s">
        <v>109</v>
      </c>
      <c r="B76" s="30"/>
      <c r="C76" s="31"/>
      <c r="D76" s="31"/>
      <c r="E76" s="23">
        <f t="shared" si="1"/>
        <v>0</v>
      </c>
      <c r="F76" s="30"/>
      <c r="G76" s="31"/>
      <c r="H76" s="31"/>
      <c r="I76" s="23">
        <f t="shared" si="2"/>
        <v>0</v>
      </c>
      <c r="J76" s="30"/>
      <c r="K76" s="31"/>
      <c r="L76" s="31"/>
      <c r="M76" s="23">
        <f t="shared" si="3"/>
        <v>0</v>
      </c>
      <c r="N76" s="30"/>
      <c r="O76" s="31"/>
      <c r="P76" s="31"/>
      <c r="Q76" s="23">
        <f t="shared" si="4"/>
        <v>0</v>
      </c>
      <c r="R76" s="30"/>
      <c r="S76" s="31"/>
      <c r="T76" s="31"/>
      <c r="U76" s="23">
        <f t="shared" si="5"/>
        <v>0</v>
      </c>
      <c r="V76" s="24">
        <f t="shared" si="6"/>
        <v>0</v>
      </c>
      <c r="W76" s="25" t="s">
        <v>23</v>
      </c>
      <c r="X76" s="49"/>
      <c r="Y76" s="92"/>
      <c r="Z76" s="92"/>
      <c r="AA76" s="92"/>
      <c r="AB76" s="49"/>
      <c r="AC76" s="49"/>
    </row>
    <row r="77">
      <c r="A77" s="26" t="s">
        <v>110</v>
      </c>
      <c r="B77" s="30"/>
      <c r="C77" s="31"/>
      <c r="D77" s="31"/>
      <c r="E77" s="23">
        <f t="shared" si="1"/>
        <v>0</v>
      </c>
      <c r="F77" s="30"/>
      <c r="G77" s="31"/>
      <c r="H77" s="31"/>
      <c r="I77" s="23">
        <f t="shared" si="2"/>
        <v>0</v>
      </c>
      <c r="J77" s="30"/>
      <c r="K77" s="31"/>
      <c r="L77" s="31"/>
      <c r="M77" s="23">
        <f t="shared" si="3"/>
        <v>0</v>
      </c>
      <c r="N77" s="30"/>
      <c r="O77" s="31"/>
      <c r="P77" s="31"/>
      <c r="Q77" s="23">
        <f t="shared" si="4"/>
        <v>0</v>
      </c>
      <c r="R77" s="30"/>
      <c r="S77" s="31"/>
      <c r="T77" s="31"/>
      <c r="U77" s="23">
        <f t="shared" si="5"/>
        <v>0</v>
      </c>
      <c r="V77" s="24">
        <f t="shared" si="6"/>
        <v>0</v>
      </c>
      <c r="W77" s="25" t="s">
        <v>22</v>
      </c>
      <c r="X77" s="49"/>
      <c r="Y77" s="92"/>
      <c r="Z77" s="92"/>
      <c r="AA77" s="92"/>
      <c r="AB77" s="49"/>
      <c r="AC77" s="49"/>
    </row>
    <row r="78">
      <c r="A78" s="94" t="s">
        <v>111</v>
      </c>
      <c r="B78" s="30"/>
      <c r="C78" s="31"/>
      <c r="D78" s="31"/>
      <c r="E78" s="23">
        <f t="shared" si="1"/>
        <v>0</v>
      </c>
      <c r="F78" s="30"/>
      <c r="G78" s="31"/>
      <c r="H78" s="64">
        <v>1.0</v>
      </c>
      <c r="I78" s="23">
        <f t="shared" si="2"/>
        <v>1</v>
      </c>
      <c r="J78" s="30"/>
      <c r="K78" s="31"/>
      <c r="L78" s="31"/>
      <c r="M78" s="23">
        <f t="shared" si="3"/>
        <v>0</v>
      </c>
      <c r="N78" s="30"/>
      <c r="O78" s="31"/>
      <c r="P78" s="31"/>
      <c r="Q78" s="23">
        <f t="shared" si="4"/>
        <v>0</v>
      </c>
      <c r="R78" s="30"/>
      <c r="S78" s="31"/>
      <c r="T78" s="31"/>
      <c r="U78" s="23">
        <f t="shared" si="5"/>
        <v>0</v>
      </c>
      <c r="V78" s="24">
        <f t="shared" si="6"/>
        <v>1</v>
      </c>
      <c r="W78" s="25" t="s">
        <v>22</v>
      </c>
      <c r="X78" s="49"/>
      <c r="Y78" s="92"/>
      <c r="Z78" s="92"/>
      <c r="AA78" s="92"/>
      <c r="AB78" s="49"/>
      <c r="AC78" s="49"/>
    </row>
    <row r="79">
      <c r="A79" s="95" t="s">
        <v>112</v>
      </c>
      <c r="B79" s="96"/>
      <c r="C79" s="97"/>
      <c r="D79" s="97"/>
      <c r="E79" s="23">
        <f t="shared" si="1"/>
        <v>0</v>
      </c>
      <c r="F79" s="96"/>
      <c r="G79" s="97"/>
      <c r="H79" s="97"/>
      <c r="I79" s="23">
        <f t="shared" si="2"/>
        <v>0</v>
      </c>
      <c r="J79" s="96"/>
      <c r="K79" s="97"/>
      <c r="L79" s="97"/>
      <c r="M79" s="23">
        <f t="shared" si="3"/>
        <v>0</v>
      </c>
      <c r="N79" s="96"/>
      <c r="O79" s="97"/>
      <c r="P79" s="97"/>
      <c r="Q79" s="23">
        <f t="shared" si="4"/>
        <v>0</v>
      </c>
      <c r="R79" s="96"/>
      <c r="S79" s="97"/>
      <c r="T79" s="97"/>
      <c r="U79" s="23">
        <f t="shared" si="5"/>
        <v>0</v>
      </c>
      <c r="V79" s="24">
        <f t="shared" si="6"/>
        <v>0</v>
      </c>
      <c r="W79" s="25" t="s">
        <v>8</v>
      </c>
      <c r="X79" s="49"/>
      <c r="Y79" s="92"/>
      <c r="Z79" s="92"/>
      <c r="AA79" s="92"/>
      <c r="AB79" s="49"/>
      <c r="AC79" s="49"/>
    </row>
    <row r="80" ht="17.25" customHeight="1">
      <c r="A80" s="95" t="s">
        <v>113</v>
      </c>
      <c r="B80" s="98">
        <v>1.0</v>
      </c>
      <c r="C80" s="97"/>
      <c r="D80" s="97"/>
      <c r="E80" s="23">
        <f t="shared" si="1"/>
        <v>1</v>
      </c>
      <c r="F80" s="98">
        <v>1.0</v>
      </c>
      <c r="G80" s="97"/>
      <c r="H80" s="99">
        <v>1.0</v>
      </c>
      <c r="I80" s="23">
        <f t="shared" si="2"/>
        <v>2</v>
      </c>
      <c r="J80" s="96"/>
      <c r="K80" s="97"/>
      <c r="L80" s="99">
        <v>1.0</v>
      </c>
      <c r="M80" s="23">
        <f t="shared" si="3"/>
        <v>1</v>
      </c>
      <c r="N80" s="98">
        <v>1.0</v>
      </c>
      <c r="O80" s="97"/>
      <c r="P80" s="97"/>
      <c r="Q80" s="23">
        <f t="shared" si="4"/>
        <v>1</v>
      </c>
      <c r="R80" s="96"/>
      <c r="S80" s="97"/>
      <c r="T80" s="99">
        <v>1.0</v>
      </c>
      <c r="U80" s="23">
        <f t="shared" si="5"/>
        <v>1</v>
      </c>
      <c r="V80" s="24">
        <f t="shared" si="6"/>
        <v>6</v>
      </c>
      <c r="W80" s="25" t="s">
        <v>22</v>
      </c>
      <c r="X80" s="49"/>
      <c r="Y80" s="49"/>
      <c r="Z80" s="49"/>
    </row>
    <row r="81" ht="18.0" customHeight="1">
      <c r="A81" s="95" t="s">
        <v>114</v>
      </c>
      <c r="B81" s="96"/>
      <c r="C81" s="97"/>
      <c r="D81" s="97"/>
      <c r="E81" s="23">
        <f t="shared" si="1"/>
        <v>0</v>
      </c>
      <c r="F81" s="96"/>
      <c r="G81" s="97"/>
      <c r="H81" s="97"/>
      <c r="I81" s="23">
        <f t="shared" si="2"/>
        <v>0</v>
      </c>
      <c r="J81" s="96"/>
      <c r="K81" s="97"/>
      <c r="L81" s="97"/>
      <c r="M81" s="23">
        <f t="shared" si="3"/>
        <v>0</v>
      </c>
      <c r="N81" s="96"/>
      <c r="O81" s="97"/>
      <c r="P81" s="97"/>
      <c r="Q81" s="23">
        <f t="shared" si="4"/>
        <v>0</v>
      </c>
      <c r="R81" s="96"/>
      <c r="S81" s="97"/>
      <c r="T81" s="97"/>
      <c r="U81" s="23">
        <f t="shared" si="5"/>
        <v>0</v>
      </c>
      <c r="V81" s="24">
        <f t="shared" si="6"/>
        <v>0</v>
      </c>
      <c r="W81" s="25" t="s">
        <v>8</v>
      </c>
      <c r="X81" s="49"/>
      <c r="Z81" s="49"/>
    </row>
    <row r="82">
      <c r="A82" s="95" t="s">
        <v>115</v>
      </c>
      <c r="B82" s="96"/>
      <c r="C82" s="97"/>
      <c r="D82" s="97"/>
      <c r="E82" s="23">
        <f t="shared" si="1"/>
        <v>0</v>
      </c>
      <c r="F82" s="96"/>
      <c r="G82" s="97"/>
      <c r="H82" s="97"/>
      <c r="I82" s="23">
        <f t="shared" si="2"/>
        <v>0</v>
      </c>
      <c r="J82" s="96"/>
      <c r="K82" s="97"/>
      <c r="L82" s="97"/>
      <c r="M82" s="23">
        <f t="shared" si="3"/>
        <v>0</v>
      </c>
      <c r="N82" s="96"/>
      <c r="O82" s="97"/>
      <c r="P82" s="97"/>
      <c r="Q82" s="23">
        <f t="shared" si="4"/>
        <v>0</v>
      </c>
      <c r="R82" s="96"/>
      <c r="S82" s="97"/>
      <c r="T82" s="97"/>
      <c r="U82" s="23">
        <f t="shared" si="5"/>
        <v>0</v>
      </c>
      <c r="V82" s="24">
        <f t="shared" si="6"/>
        <v>0</v>
      </c>
      <c r="W82" s="25" t="s">
        <v>8</v>
      </c>
    </row>
    <row r="83">
      <c r="A83" s="95" t="s">
        <v>116</v>
      </c>
      <c r="B83" s="98">
        <v>2.0</v>
      </c>
      <c r="C83" s="97"/>
      <c r="D83" s="97"/>
      <c r="E83" s="23">
        <f t="shared" si="1"/>
        <v>2</v>
      </c>
      <c r="F83" s="96"/>
      <c r="G83" s="97"/>
      <c r="H83" s="97"/>
      <c r="I83" s="23">
        <f t="shared" si="2"/>
        <v>0</v>
      </c>
      <c r="J83" s="96"/>
      <c r="K83" s="97"/>
      <c r="L83" s="97"/>
      <c r="M83" s="23">
        <f t="shared" si="3"/>
        <v>0</v>
      </c>
      <c r="N83" s="96"/>
      <c r="O83" s="97"/>
      <c r="P83" s="97"/>
      <c r="Q83" s="23">
        <f t="shared" si="4"/>
        <v>0</v>
      </c>
      <c r="R83" s="96"/>
      <c r="S83" s="97"/>
      <c r="T83" s="97"/>
      <c r="U83" s="23">
        <f t="shared" si="5"/>
        <v>0</v>
      </c>
      <c r="V83" s="24">
        <f t="shared" si="6"/>
        <v>2</v>
      </c>
      <c r="W83" s="25" t="s">
        <v>8</v>
      </c>
    </row>
    <row r="84">
      <c r="A84" s="95" t="s">
        <v>117</v>
      </c>
      <c r="B84" s="98">
        <v>1.0</v>
      </c>
      <c r="C84" s="97"/>
      <c r="D84" s="97"/>
      <c r="E84" s="23">
        <f t="shared" si="1"/>
        <v>1</v>
      </c>
      <c r="F84" s="96"/>
      <c r="G84" s="97"/>
      <c r="H84" s="97"/>
      <c r="I84" s="23">
        <f t="shared" si="2"/>
        <v>0</v>
      </c>
      <c r="J84" s="96"/>
      <c r="K84" s="97"/>
      <c r="L84" s="97"/>
      <c r="M84" s="23">
        <f t="shared" si="3"/>
        <v>0</v>
      </c>
      <c r="N84" s="96"/>
      <c r="O84" s="97"/>
      <c r="P84" s="97"/>
      <c r="Q84" s="23">
        <f t="shared" si="4"/>
        <v>0</v>
      </c>
      <c r="R84" s="96"/>
      <c r="S84" s="97"/>
      <c r="T84" s="97"/>
      <c r="U84" s="23">
        <f t="shared" si="5"/>
        <v>0</v>
      </c>
      <c r="V84" s="24">
        <f t="shared" si="6"/>
        <v>1</v>
      </c>
      <c r="W84" s="25" t="s">
        <v>8</v>
      </c>
    </row>
    <row r="85">
      <c r="A85" s="100" t="s">
        <v>118</v>
      </c>
      <c r="B85" s="104">
        <f t="shared" ref="B85:D85" si="9">sum(B4:B84)</f>
        <v>28</v>
      </c>
      <c r="C85" s="104">
        <f t="shared" si="9"/>
        <v>0</v>
      </c>
      <c r="D85" s="104">
        <f t="shared" si="9"/>
        <v>20</v>
      </c>
      <c r="E85" s="105"/>
      <c r="F85" s="104">
        <f t="shared" ref="F85:H85" si="10">sum(F4:F84)</f>
        <v>11</v>
      </c>
      <c r="G85" s="104">
        <f t="shared" si="10"/>
        <v>0</v>
      </c>
      <c r="H85" s="104">
        <f t="shared" si="10"/>
        <v>30</v>
      </c>
      <c r="I85" s="105"/>
      <c r="J85" s="104">
        <f t="shared" ref="J85:L85" si="11">sum(J4:J84)</f>
        <v>10</v>
      </c>
      <c r="K85" s="104">
        <f t="shared" si="11"/>
        <v>0</v>
      </c>
      <c r="L85" s="104">
        <f t="shared" si="11"/>
        <v>23</v>
      </c>
      <c r="M85" s="105"/>
      <c r="N85" s="104">
        <f t="shared" ref="N85:P85" si="12">sum(N4:N84)</f>
        <v>7</v>
      </c>
      <c r="O85" s="104">
        <f t="shared" si="12"/>
        <v>0</v>
      </c>
      <c r="P85" s="104">
        <f t="shared" si="12"/>
        <v>6</v>
      </c>
      <c r="Q85" s="105"/>
      <c r="R85" s="104">
        <f t="shared" ref="R85:T85" si="13">sum(R4:R84)</f>
        <v>3</v>
      </c>
      <c r="S85" s="104">
        <f t="shared" si="13"/>
        <v>0</v>
      </c>
      <c r="T85" s="104">
        <f t="shared" si="13"/>
        <v>11</v>
      </c>
      <c r="U85" s="105"/>
    </row>
    <row r="86">
      <c r="A86" s="106" t="s">
        <v>119</v>
      </c>
      <c r="B86" s="114">
        <v>15.0</v>
      </c>
      <c r="C86" s="111"/>
      <c r="D86" s="111"/>
      <c r="E86" s="112"/>
      <c r="F86" s="115">
        <v>10.0</v>
      </c>
      <c r="G86" s="111"/>
      <c r="H86" s="111"/>
      <c r="I86" s="112"/>
      <c r="J86" s="115">
        <v>8.0</v>
      </c>
      <c r="K86" s="111"/>
      <c r="L86" s="111"/>
      <c r="M86" s="112"/>
      <c r="N86" s="115">
        <v>3.0</v>
      </c>
      <c r="O86" s="111"/>
      <c r="P86" s="111"/>
      <c r="Q86" s="112"/>
      <c r="R86" s="115">
        <v>6.0</v>
      </c>
      <c r="S86" s="111"/>
      <c r="T86" s="111"/>
      <c r="U86" s="112"/>
    </row>
    <row r="87">
      <c r="B87" s="116"/>
      <c r="C87" s="116"/>
      <c r="D87" s="116"/>
      <c r="E87" s="116"/>
      <c r="F87" s="116"/>
      <c r="G87" s="116"/>
      <c r="H87" s="116"/>
      <c r="I87" s="116"/>
      <c r="J87" s="116"/>
      <c r="K87" s="116"/>
      <c r="L87" s="116"/>
      <c r="M87" s="116"/>
      <c r="N87" s="116"/>
      <c r="O87" s="116"/>
      <c r="P87" s="116"/>
      <c r="Q87" s="116"/>
      <c r="R87" s="116"/>
      <c r="S87" s="116"/>
      <c r="T87" s="116"/>
      <c r="U87" s="116"/>
    </row>
  </sheetData>
  <mergeCells count="17">
    <mergeCell ref="B1:E2"/>
    <mergeCell ref="F1:I2"/>
    <mergeCell ref="J1:M2"/>
    <mergeCell ref="N1:Q2"/>
    <mergeCell ref="R1:U2"/>
    <mergeCell ref="AG5:AI5"/>
    <mergeCell ref="Y13:AE13"/>
    <mergeCell ref="J86:M86"/>
    <mergeCell ref="N86:Q86"/>
    <mergeCell ref="Y21:AC21"/>
    <mergeCell ref="Y32:AC32"/>
    <mergeCell ref="Y42:AC42"/>
    <mergeCell ref="Y52:AC52"/>
    <mergeCell ref="Y62:AC62"/>
    <mergeCell ref="B86:E86"/>
    <mergeCell ref="F86:I86"/>
    <mergeCell ref="R86:U86"/>
  </mergeCells>
  <dataValidations>
    <dataValidation type="list" allowBlank="1" showErrorMessage="1" sqref="W4:W84">
      <formula1>"Academics,Referral,Financial,Mental Health and Wellness,Other"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51.63"/>
    <col customWidth="1" min="2" max="2" width="7.0"/>
    <col customWidth="1" min="3" max="3" width="6.88"/>
    <col customWidth="1" min="4" max="4" width="7.25"/>
    <col customWidth="1" min="5" max="5" width="9.5"/>
    <col customWidth="1" min="6" max="6" width="7.0"/>
    <col customWidth="1" min="7" max="7" width="6.88"/>
    <col customWidth="1" min="8" max="8" width="7.25"/>
    <col customWidth="1" min="9" max="9" width="9.5"/>
    <col customWidth="1" min="10" max="10" width="7.0"/>
    <col customWidth="1" min="11" max="11" width="6.88"/>
    <col customWidth="1" min="12" max="12" width="7.25"/>
    <col customWidth="1" min="13" max="13" width="9.5"/>
    <col customWidth="1" min="14" max="14" width="7.0"/>
    <col customWidth="1" min="15" max="15" width="6.88"/>
    <col customWidth="1" min="16" max="16" width="7.25"/>
    <col customWidth="1" min="17" max="17" width="9.5"/>
    <col customWidth="1" min="18" max="18" width="7.0"/>
    <col customWidth="1" min="19" max="19" width="6.88"/>
    <col customWidth="1" min="20" max="20" width="7.25"/>
    <col customWidth="1" min="21" max="21" width="9.5"/>
    <col customWidth="1" min="22" max="22" width="16.63"/>
    <col customWidth="1" min="23" max="23" width="21.38"/>
    <col customWidth="1" min="25" max="25" width="22.88"/>
    <col customWidth="1" min="26" max="26" width="24.5"/>
    <col customWidth="1" min="27" max="27" width="13.63"/>
    <col customWidth="1" min="33" max="33" width="15.38"/>
    <col customWidth="1" min="34" max="34" width="37.38"/>
  </cols>
  <sheetData>
    <row r="1">
      <c r="A1" s="1"/>
      <c r="B1" s="5">
        <v>45334.0</v>
      </c>
      <c r="C1" s="3"/>
      <c r="D1" s="3"/>
      <c r="E1" s="4"/>
      <c r="F1" s="5">
        <v>45335.0</v>
      </c>
      <c r="G1" s="3"/>
      <c r="H1" s="3"/>
      <c r="I1" s="4"/>
      <c r="J1" s="5">
        <v>45336.0</v>
      </c>
      <c r="K1" s="3"/>
      <c r="L1" s="3"/>
      <c r="M1" s="4"/>
      <c r="N1" s="5">
        <v>45337.0</v>
      </c>
      <c r="O1" s="3"/>
      <c r="P1" s="3"/>
      <c r="Q1" s="4"/>
      <c r="R1" s="5">
        <v>45338.0</v>
      </c>
      <c r="S1" s="3"/>
      <c r="T1" s="3"/>
      <c r="U1" s="4"/>
    </row>
    <row r="2">
      <c r="A2" s="1"/>
      <c r="B2" s="6"/>
      <c r="C2" s="7"/>
      <c r="D2" s="7"/>
      <c r="E2" s="8"/>
      <c r="F2" s="6"/>
      <c r="G2" s="7"/>
      <c r="H2" s="7"/>
      <c r="I2" s="8"/>
      <c r="J2" s="6"/>
      <c r="K2" s="7"/>
      <c r="L2" s="7"/>
      <c r="M2" s="8"/>
      <c r="N2" s="6"/>
      <c r="O2" s="7"/>
      <c r="P2" s="7"/>
      <c r="Q2" s="8"/>
      <c r="R2" s="6"/>
      <c r="S2" s="7"/>
      <c r="T2" s="7"/>
      <c r="U2" s="8"/>
    </row>
    <row r="3" ht="18.0" customHeight="1">
      <c r="A3" s="9" t="s">
        <v>0</v>
      </c>
      <c r="B3" s="10" t="s">
        <v>1</v>
      </c>
      <c r="C3" s="11" t="s">
        <v>2</v>
      </c>
      <c r="D3" s="12" t="s">
        <v>3</v>
      </c>
      <c r="E3" s="13" t="s">
        <v>4</v>
      </c>
      <c r="F3" s="10" t="s">
        <v>1</v>
      </c>
      <c r="G3" s="11" t="s">
        <v>2</v>
      </c>
      <c r="H3" s="12" t="s">
        <v>3</v>
      </c>
      <c r="I3" s="13" t="s">
        <v>4</v>
      </c>
      <c r="J3" s="10" t="s">
        <v>1</v>
      </c>
      <c r="K3" s="11" t="s">
        <v>2</v>
      </c>
      <c r="L3" s="12" t="s">
        <v>3</v>
      </c>
      <c r="M3" s="13" t="s">
        <v>4</v>
      </c>
      <c r="N3" s="10" t="s">
        <v>1</v>
      </c>
      <c r="O3" s="11" t="s">
        <v>2</v>
      </c>
      <c r="P3" s="12" t="s">
        <v>3</v>
      </c>
      <c r="Q3" s="13" t="s">
        <v>4</v>
      </c>
      <c r="R3" s="10" t="s">
        <v>1</v>
      </c>
      <c r="S3" s="11" t="s">
        <v>2</v>
      </c>
      <c r="T3" s="12" t="s">
        <v>3</v>
      </c>
      <c r="U3" s="13" t="s">
        <v>4</v>
      </c>
      <c r="V3" s="14" t="s">
        <v>5</v>
      </c>
      <c r="W3" s="15" t="s">
        <v>6</v>
      </c>
    </row>
    <row r="4">
      <c r="A4" s="16" t="s">
        <v>7</v>
      </c>
      <c r="B4" s="113"/>
      <c r="C4" s="22"/>
      <c r="D4" s="22"/>
      <c r="E4" s="23">
        <f t="shared" ref="E4:E84" si="1">sum(B4:D4)</f>
        <v>0</v>
      </c>
      <c r="F4" s="113">
        <v>1.0</v>
      </c>
      <c r="G4" s="22"/>
      <c r="H4" s="22"/>
      <c r="I4" s="23">
        <f t="shared" ref="I4:I84" si="2">sum(F4:H4)</f>
        <v>1</v>
      </c>
      <c r="J4" s="21"/>
      <c r="K4" s="22"/>
      <c r="L4" s="22"/>
      <c r="M4" s="23">
        <f t="shared" ref="M4:M84" si="3">sum(J4:L4)</f>
        <v>0</v>
      </c>
      <c r="N4" s="21"/>
      <c r="O4" s="22"/>
      <c r="P4" s="117">
        <v>1.0</v>
      </c>
      <c r="Q4" s="23">
        <f t="shared" ref="Q4:Q84" si="4">sum(N4:P4)</f>
        <v>1</v>
      </c>
      <c r="R4" s="113">
        <v>1.0</v>
      </c>
      <c r="S4" s="22"/>
      <c r="T4" s="117">
        <v>2.0</v>
      </c>
      <c r="U4" s="23">
        <f t="shared" ref="U4:U84" si="5">sum(R4:T4)</f>
        <v>3</v>
      </c>
      <c r="V4" s="24">
        <f t="shared" ref="V4:V84" si="6">sum(E4,I4,M4,Q4,U4)</f>
        <v>5</v>
      </c>
      <c r="W4" s="25" t="s">
        <v>8</v>
      </c>
    </row>
    <row r="5">
      <c r="A5" s="26" t="s">
        <v>9</v>
      </c>
      <c r="B5" s="38">
        <v>4.0</v>
      </c>
      <c r="C5" s="31"/>
      <c r="D5" s="64">
        <v>1.0</v>
      </c>
      <c r="E5" s="23">
        <f t="shared" si="1"/>
        <v>5</v>
      </c>
      <c r="F5" s="38">
        <v>2.0</v>
      </c>
      <c r="G5" s="31"/>
      <c r="H5" s="64">
        <v>1.0</v>
      </c>
      <c r="I5" s="23">
        <f t="shared" si="2"/>
        <v>3</v>
      </c>
      <c r="J5" s="38">
        <v>1.0</v>
      </c>
      <c r="K5" s="31"/>
      <c r="L5" s="64">
        <v>2.0</v>
      </c>
      <c r="M5" s="23">
        <f t="shared" si="3"/>
        <v>3</v>
      </c>
      <c r="N5" s="30"/>
      <c r="O5" s="31"/>
      <c r="P5" s="64"/>
      <c r="Q5" s="23">
        <f t="shared" si="4"/>
        <v>0</v>
      </c>
      <c r="R5" s="38">
        <v>4.0</v>
      </c>
      <c r="S5" s="31"/>
      <c r="T5" s="64">
        <v>1.0</v>
      </c>
      <c r="U5" s="23">
        <f t="shared" si="5"/>
        <v>5</v>
      </c>
      <c r="V5" s="24">
        <f t="shared" si="6"/>
        <v>16</v>
      </c>
      <c r="W5" s="25" t="s">
        <v>8</v>
      </c>
      <c r="Y5" s="32" t="s">
        <v>10</v>
      </c>
      <c r="Z5" s="33" t="s">
        <v>11</v>
      </c>
      <c r="AB5" s="34"/>
      <c r="AG5" s="35" t="s">
        <v>12</v>
      </c>
      <c r="AH5" s="36"/>
      <c r="AI5" s="37"/>
    </row>
    <row r="6">
      <c r="A6" s="26" t="s">
        <v>13</v>
      </c>
      <c r="B6" s="30"/>
      <c r="C6" s="31"/>
      <c r="D6" s="31"/>
      <c r="E6" s="23">
        <f t="shared" si="1"/>
        <v>0</v>
      </c>
      <c r="F6" s="30"/>
      <c r="G6" s="31"/>
      <c r="H6" s="31"/>
      <c r="I6" s="23">
        <f t="shared" si="2"/>
        <v>0</v>
      </c>
      <c r="J6" s="30"/>
      <c r="K6" s="31"/>
      <c r="L6" s="31"/>
      <c r="M6" s="23">
        <f t="shared" si="3"/>
        <v>0</v>
      </c>
      <c r="N6" s="30"/>
      <c r="O6" s="31"/>
      <c r="P6" s="31"/>
      <c r="Q6" s="23">
        <f t="shared" si="4"/>
        <v>0</v>
      </c>
      <c r="R6" s="30"/>
      <c r="S6" s="31"/>
      <c r="T6" s="31"/>
      <c r="U6" s="23">
        <f t="shared" si="5"/>
        <v>0</v>
      </c>
      <c r="V6" s="24">
        <f t="shared" si="6"/>
        <v>0</v>
      </c>
      <c r="W6" s="25" t="s">
        <v>8</v>
      </c>
      <c r="Y6" s="39" t="s">
        <v>14</v>
      </c>
      <c r="Z6" s="40">
        <f>SUMIF(W:W,"Academics",V:V)</f>
        <v>50</v>
      </c>
      <c r="AG6" s="41"/>
      <c r="AH6" s="42" t="s">
        <v>15</v>
      </c>
      <c r="AI6" s="42" t="s">
        <v>16</v>
      </c>
    </row>
    <row r="7">
      <c r="A7" s="26" t="s">
        <v>17</v>
      </c>
      <c r="B7" s="30"/>
      <c r="C7" s="31"/>
      <c r="D7" s="31"/>
      <c r="E7" s="23">
        <f t="shared" si="1"/>
        <v>0</v>
      </c>
      <c r="F7" s="30"/>
      <c r="G7" s="31"/>
      <c r="H7" s="31"/>
      <c r="I7" s="23">
        <f t="shared" si="2"/>
        <v>0</v>
      </c>
      <c r="J7" s="30"/>
      <c r="K7" s="31"/>
      <c r="L7" s="31"/>
      <c r="M7" s="23">
        <f t="shared" si="3"/>
        <v>0</v>
      </c>
      <c r="N7" s="30"/>
      <c r="O7" s="31"/>
      <c r="P7" s="31"/>
      <c r="Q7" s="23">
        <f t="shared" si="4"/>
        <v>0</v>
      </c>
      <c r="R7" s="30"/>
      <c r="S7" s="31"/>
      <c r="T7" s="31"/>
      <c r="U7" s="23">
        <f t="shared" si="5"/>
        <v>0</v>
      </c>
      <c r="V7" s="24">
        <f t="shared" si="6"/>
        <v>0</v>
      </c>
      <c r="W7" s="25" t="s">
        <v>8</v>
      </c>
      <c r="Y7" s="43" t="s">
        <v>18</v>
      </c>
      <c r="Z7" s="44">
        <f>SUMIF(W:W,"Referral",V:V)</f>
        <v>13</v>
      </c>
      <c r="AG7" s="45">
        <v>1.0</v>
      </c>
      <c r="AH7" s="46" t="str">
        <f t="array" ref="AH7">IFERROR(TEXTJOIN(", ", TRUE, IF($V$4:$V$84=AI7, $A$4:$A$84, "")), "")
</f>
        <v>Academic Consideration Requests (ACRs) - Missing Classes</v>
      </c>
      <c r="AI7" s="47">
        <f>LARGE($V$4:$V$84,1)</f>
        <v>16</v>
      </c>
    </row>
    <row r="8">
      <c r="A8" s="26" t="s">
        <v>19</v>
      </c>
      <c r="B8" s="38">
        <v>1.0</v>
      </c>
      <c r="C8" s="31"/>
      <c r="D8" s="31"/>
      <c r="E8" s="23">
        <f t="shared" si="1"/>
        <v>1</v>
      </c>
      <c r="F8" s="30"/>
      <c r="G8" s="31"/>
      <c r="H8" s="31"/>
      <c r="I8" s="23">
        <f t="shared" si="2"/>
        <v>0</v>
      </c>
      <c r="J8" s="30"/>
      <c r="K8" s="31"/>
      <c r="L8" s="31"/>
      <c r="M8" s="23">
        <f t="shared" si="3"/>
        <v>0</v>
      </c>
      <c r="N8" s="30"/>
      <c r="O8" s="31"/>
      <c r="P8" s="31"/>
      <c r="Q8" s="23">
        <f t="shared" si="4"/>
        <v>0</v>
      </c>
      <c r="R8" s="30"/>
      <c r="S8" s="31"/>
      <c r="T8" s="31"/>
      <c r="U8" s="23">
        <f t="shared" si="5"/>
        <v>0</v>
      </c>
      <c r="V8" s="24">
        <f t="shared" si="6"/>
        <v>1</v>
      </c>
      <c r="W8" s="25" t="s">
        <v>8</v>
      </c>
      <c r="Y8" s="43" t="s">
        <v>20</v>
      </c>
      <c r="Z8" s="44">
        <f>SUMIF(W:W,"Financial",V:V)</f>
        <v>4</v>
      </c>
      <c r="AG8" s="45">
        <v>2.0</v>
      </c>
      <c r="AH8" s="46" t="str">
        <f t="array" ref="AH8">IFERROR(TEXTJOIN(", ", TRUE, IF($V$4:$V$84=AI8, $A$4:$A$84, "")), "")
</f>
        <v>Course Enrollment </v>
      </c>
      <c r="AI8" s="46">
        <f t="array" ref="AI8">LARGE(IF($V$4:$V$84&lt;&gt;MAX($AI$7:AI7),$V$4:$V$84),1)</f>
        <v>7</v>
      </c>
    </row>
    <row r="9">
      <c r="A9" s="26" t="s">
        <v>21</v>
      </c>
      <c r="B9" s="30"/>
      <c r="C9" s="31"/>
      <c r="D9" s="64">
        <v>1.0</v>
      </c>
      <c r="E9" s="23">
        <f t="shared" si="1"/>
        <v>1</v>
      </c>
      <c r="F9" s="38">
        <v>1.0</v>
      </c>
      <c r="G9" s="31"/>
      <c r="H9" s="31"/>
      <c r="I9" s="23">
        <f t="shared" si="2"/>
        <v>1</v>
      </c>
      <c r="J9" s="30"/>
      <c r="K9" s="31"/>
      <c r="L9" s="64">
        <v>1.0</v>
      </c>
      <c r="M9" s="23">
        <f t="shared" si="3"/>
        <v>1</v>
      </c>
      <c r="N9" s="30"/>
      <c r="O9" s="31"/>
      <c r="P9" s="64"/>
      <c r="Q9" s="23">
        <f t="shared" si="4"/>
        <v>0</v>
      </c>
      <c r="R9" s="30"/>
      <c r="S9" s="31"/>
      <c r="T9" s="31"/>
      <c r="U9" s="23">
        <f t="shared" si="5"/>
        <v>0</v>
      </c>
      <c r="V9" s="24">
        <f t="shared" si="6"/>
        <v>3</v>
      </c>
      <c r="W9" s="25" t="s">
        <v>22</v>
      </c>
      <c r="Y9" s="48" t="s">
        <v>23</v>
      </c>
      <c r="Z9" s="40">
        <f>SUMIF(W:W, "Mental Health and Wellness", V:V)</f>
        <v>0</v>
      </c>
      <c r="AG9" s="45">
        <v>3.0</v>
      </c>
      <c r="AH9" s="46" t="str">
        <f t="array" ref="AH9">IFERROR(TEXTJOIN(", ", TRUE, IF($V$4:$V$84=AI9, $A$4:$A$84, "")), "")
</f>
        <v>Chang School</v>
      </c>
      <c r="AI9" s="46">
        <f t="array" ref="AI9">LARGE(IF($V$4:$V$84&lt;&gt;MAX($AI$7:AI7),IF($V$4:$V$84&lt;&gt;MAX($AI$8:AI8),$V$4:$V$84)),1)</f>
        <v>6</v>
      </c>
    </row>
    <row r="10">
      <c r="A10" s="26" t="s">
        <v>24</v>
      </c>
      <c r="B10" s="30"/>
      <c r="C10" s="31"/>
      <c r="D10" s="31"/>
      <c r="E10" s="23">
        <f t="shared" si="1"/>
        <v>0</v>
      </c>
      <c r="F10" s="30"/>
      <c r="G10" s="31"/>
      <c r="H10" s="31"/>
      <c r="I10" s="23">
        <f t="shared" si="2"/>
        <v>0</v>
      </c>
      <c r="J10" s="30"/>
      <c r="K10" s="31"/>
      <c r="L10" s="31"/>
      <c r="M10" s="23">
        <f t="shared" si="3"/>
        <v>0</v>
      </c>
      <c r="N10" s="30"/>
      <c r="O10" s="31"/>
      <c r="P10" s="31"/>
      <c r="Q10" s="23">
        <f t="shared" si="4"/>
        <v>0</v>
      </c>
      <c r="R10" s="30"/>
      <c r="S10" s="31"/>
      <c r="T10" s="31"/>
      <c r="U10" s="23">
        <f t="shared" si="5"/>
        <v>0</v>
      </c>
      <c r="V10" s="24">
        <f t="shared" si="6"/>
        <v>0</v>
      </c>
      <c r="W10" s="25" t="s">
        <v>8</v>
      </c>
      <c r="Y10" s="48" t="s">
        <v>25</v>
      </c>
      <c r="Z10" s="40">
        <f>SUMIF(W:W, "Other", V:V)</f>
        <v>13</v>
      </c>
      <c r="AG10" s="45">
        <v>4.0</v>
      </c>
      <c r="AH10" s="46" t="str">
        <f t="array" ref="AH10">IFERROR(TEXTJOIN(", ", TRUE, IF($V$4:$V$84=AI10, $A$4:$A$84, "")), "")
</f>
        <v>Academic Advising Appointments, Directions, Supplies Request, e.g. stapler, scissor, etc</v>
      </c>
      <c r="AI10" s="46">
        <f t="array" ref="AI10">LARGE(IF($V$4:$V$84&lt;&gt;MAX($AI$7:AI7), IF($V$4:$V$84&lt;&gt;MAX($AI$8:AI8), IF($V$4:$V$84&lt;&gt;MAX($AI$9:AI9), $V$4:$V$84))), 1)</f>
        <v>5</v>
      </c>
    </row>
    <row r="11">
      <c r="A11" s="26" t="s">
        <v>26</v>
      </c>
      <c r="B11" s="30"/>
      <c r="C11" s="31"/>
      <c r="D11" s="31"/>
      <c r="E11" s="23">
        <f t="shared" si="1"/>
        <v>0</v>
      </c>
      <c r="F11" s="30"/>
      <c r="G11" s="31"/>
      <c r="H11" s="31"/>
      <c r="I11" s="23">
        <f t="shared" si="2"/>
        <v>0</v>
      </c>
      <c r="J11" s="30"/>
      <c r="K11" s="31"/>
      <c r="L11" s="31"/>
      <c r="M11" s="23">
        <f t="shared" si="3"/>
        <v>0</v>
      </c>
      <c r="N11" s="30"/>
      <c r="O11" s="31"/>
      <c r="P11" s="31"/>
      <c r="Q11" s="23">
        <f t="shared" si="4"/>
        <v>0</v>
      </c>
      <c r="R11" s="38">
        <v>1.0</v>
      </c>
      <c r="S11" s="31"/>
      <c r="T11" s="31"/>
      <c r="U11" s="23">
        <f t="shared" si="5"/>
        <v>1</v>
      </c>
      <c r="V11" s="24">
        <f t="shared" si="6"/>
        <v>1</v>
      </c>
      <c r="W11" s="25" t="s">
        <v>22</v>
      </c>
      <c r="Y11" s="49"/>
      <c r="Z11" s="50"/>
      <c r="AG11" s="45">
        <v>5.0</v>
      </c>
      <c r="AH11" s="46" t="str">
        <f t="array" ref="AH11">IFERROR(TEXTJOIN(", ", TRUE, IF($V$4:$V$84=AI11, $A$4:$A$84, "")), "")
</f>
        <v>Plan Change</v>
      </c>
      <c r="AI11" s="46">
        <f t="array" ref="AI11">LARGE(IF($V$4:$V$84&lt;&gt;MAX($AI$7:AI7), IF($V$4:$V$84&lt;&gt;MAX($AI$8:AI8), IF($V$4:$V$84&lt;&gt;MAX($AI$9:AI9), IF($V$4:$V$84&lt;&gt;MAX($AI$10:AI10), $V$4:$V$84)))), 1)</f>
        <v>4</v>
      </c>
    </row>
    <row r="12">
      <c r="A12" s="26" t="s">
        <v>27</v>
      </c>
      <c r="B12" s="30"/>
      <c r="C12" s="31"/>
      <c r="D12" s="31"/>
      <c r="E12" s="23">
        <f t="shared" si="1"/>
        <v>0</v>
      </c>
      <c r="F12" s="30"/>
      <c r="G12" s="31"/>
      <c r="H12" s="31"/>
      <c r="I12" s="23">
        <f t="shared" si="2"/>
        <v>0</v>
      </c>
      <c r="J12" s="30"/>
      <c r="K12" s="31"/>
      <c r="L12" s="31"/>
      <c r="M12" s="23">
        <f t="shared" si="3"/>
        <v>0</v>
      </c>
      <c r="N12" s="30"/>
      <c r="O12" s="31"/>
      <c r="P12" s="31"/>
      <c r="Q12" s="23">
        <f t="shared" si="4"/>
        <v>0</v>
      </c>
      <c r="R12" s="30"/>
      <c r="S12" s="31"/>
      <c r="T12" s="31"/>
      <c r="U12" s="23">
        <f t="shared" si="5"/>
        <v>0</v>
      </c>
      <c r="V12" s="24">
        <f t="shared" si="6"/>
        <v>0</v>
      </c>
      <c r="W12" s="25" t="s">
        <v>22</v>
      </c>
      <c r="Y12" s="25"/>
      <c r="Z12" s="50"/>
    </row>
    <row r="13">
      <c r="A13" s="26" t="s">
        <v>28</v>
      </c>
      <c r="B13" s="30"/>
      <c r="C13" s="31"/>
      <c r="D13" s="31"/>
      <c r="E13" s="23">
        <f t="shared" si="1"/>
        <v>0</v>
      </c>
      <c r="F13" s="30"/>
      <c r="G13" s="31"/>
      <c r="H13" s="31"/>
      <c r="I13" s="23">
        <f t="shared" si="2"/>
        <v>0</v>
      </c>
      <c r="J13" s="30"/>
      <c r="K13" s="31"/>
      <c r="L13" s="31"/>
      <c r="M13" s="23">
        <f t="shared" si="3"/>
        <v>0</v>
      </c>
      <c r="N13" s="30"/>
      <c r="O13" s="31"/>
      <c r="P13" s="31"/>
      <c r="Q13" s="23">
        <f t="shared" si="4"/>
        <v>0</v>
      </c>
      <c r="R13" s="30"/>
      <c r="S13" s="31"/>
      <c r="T13" s="31"/>
      <c r="U13" s="23">
        <f t="shared" si="5"/>
        <v>0</v>
      </c>
      <c r="V13" s="24">
        <f t="shared" si="6"/>
        <v>0</v>
      </c>
      <c r="W13" s="25" t="s">
        <v>22</v>
      </c>
      <c r="Y13" s="51" t="s">
        <v>29</v>
      </c>
      <c r="Z13" s="52"/>
      <c r="AA13" s="52"/>
      <c r="AB13" s="52"/>
      <c r="AC13" s="52"/>
      <c r="AD13" s="52"/>
      <c r="AE13" s="53"/>
    </row>
    <row r="14">
      <c r="A14" s="26" t="s">
        <v>30</v>
      </c>
      <c r="B14" s="30"/>
      <c r="C14" s="31"/>
      <c r="D14" s="31"/>
      <c r="E14" s="23">
        <f t="shared" si="1"/>
        <v>0</v>
      </c>
      <c r="F14" s="30"/>
      <c r="G14" s="31"/>
      <c r="H14" s="31"/>
      <c r="I14" s="23">
        <f t="shared" si="2"/>
        <v>0</v>
      </c>
      <c r="J14" s="30"/>
      <c r="K14" s="31"/>
      <c r="L14" s="31"/>
      <c r="M14" s="23">
        <f t="shared" si="3"/>
        <v>0</v>
      </c>
      <c r="N14" s="30"/>
      <c r="O14" s="31"/>
      <c r="P14" s="31"/>
      <c r="Q14" s="23">
        <f t="shared" si="4"/>
        <v>0</v>
      </c>
      <c r="R14" s="30"/>
      <c r="S14" s="31"/>
      <c r="T14" s="31"/>
      <c r="U14" s="23">
        <f t="shared" si="5"/>
        <v>0</v>
      </c>
      <c r="V14" s="24">
        <f t="shared" si="6"/>
        <v>0</v>
      </c>
      <c r="W14" s="25" t="s">
        <v>22</v>
      </c>
      <c r="X14" s="49"/>
      <c r="Y14" s="54"/>
      <c r="Z14" s="55" t="s">
        <v>31</v>
      </c>
      <c r="AA14" s="55" t="s">
        <v>32</v>
      </c>
      <c r="AB14" s="56" t="s">
        <v>33</v>
      </c>
      <c r="AC14" s="55" t="s">
        <v>34</v>
      </c>
      <c r="AD14" s="57" t="s">
        <v>35</v>
      </c>
      <c r="AE14" s="58" t="s">
        <v>36</v>
      </c>
    </row>
    <row r="15">
      <c r="A15" s="26" t="s">
        <v>37</v>
      </c>
      <c r="B15" s="30"/>
      <c r="C15" s="31"/>
      <c r="D15" s="64">
        <v>1.0</v>
      </c>
      <c r="E15" s="23">
        <f t="shared" si="1"/>
        <v>1</v>
      </c>
      <c r="F15" s="30"/>
      <c r="G15" s="31"/>
      <c r="H15" s="31"/>
      <c r="I15" s="23">
        <f t="shared" si="2"/>
        <v>0</v>
      </c>
      <c r="J15" s="30"/>
      <c r="K15" s="31"/>
      <c r="L15" s="31"/>
      <c r="M15" s="23">
        <f t="shared" si="3"/>
        <v>0</v>
      </c>
      <c r="N15" s="30"/>
      <c r="O15" s="31"/>
      <c r="P15" s="31"/>
      <c r="Q15" s="23">
        <f t="shared" si="4"/>
        <v>0</v>
      </c>
      <c r="R15" s="30"/>
      <c r="S15" s="31"/>
      <c r="T15" s="31"/>
      <c r="U15" s="23">
        <f t="shared" si="5"/>
        <v>0</v>
      </c>
      <c r="V15" s="24">
        <f t="shared" si="6"/>
        <v>1</v>
      </c>
      <c r="W15" s="25" t="s">
        <v>22</v>
      </c>
      <c r="X15" s="25"/>
      <c r="Y15" s="59" t="s">
        <v>1</v>
      </c>
      <c r="Z15" s="60">
        <f>B85</f>
        <v>12</v>
      </c>
      <c r="AA15" s="60">
        <f>F85</f>
        <v>9</v>
      </c>
      <c r="AB15" s="60">
        <f>J85</f>
        <v>2</v>
      </c>
      <c r="AC15" s="60">
        <f>N85</f>
        <v>1</v>
      </c>
      <c r="AD15" s="60">
        <f>R85</f>
        <v>9</v>
      </c>
      <c r="AE15" s="61">
        <f t="shared" ref="AE15:AE18" si="7">sum(Z15:AD15)</f>
        <v>33</v>
      </c>
    </row>
    <row r="16">
      <c r="A16" s="26" t="s">
        <v>38</v>
      </c>
      <c r="B16" s="30"/>
      <c r="C16" s="31"/>
      <c r="D16" s="31"/>
      <c r="E16" s="23">
        <f t="shared" si="1"/>
        <v>0</v>
      </c>
      <c r="F16" s="30"/>
      <c r="G16" s="31"/>
      <c r="H16" s="31"/>
      <c r="I16" s="23">
        <f t="shared" si="2"/>
        <v>0</v>
      </c>
      <c r="J16" s="30"/>
      <c r="K16" s="31"/>
      <c r="L16" s="31"/>
      <c r="M16" s="23">
        <f t="shared" si="3"/>
        <v>0</v>
      </c>
      <c r="N16" s="30"/>
      <c r="O16" s="31"/>
      <c r="P16" s="31"/>
      <c r="Q16" s="23">
        <f t="shared" si="4"/>
        <v>0</v>
      </c>
      <c r="R16" s="30"/>
      <c r="S16" s="31"/>
      <c r="T16" s="31"/>
      <c r="U16" s="23">
        <f t="shared" si="5"/>
        <v>0</v>
      </c>
      <c r="V16" s="24">
        <f t="shared" si="6"/>
        <v>0</v>
      </c>
      <c r="W16" s="25" t="s">
        <v>8</v>
      </c>
      <c r="X16" s="49"/>
      <c r="Y16" s="59" t="s">
        <v>39</v>
      </c>
      <c r="Z16" s="60">
        <f>C85</f>
        <v>0</v>
      </c>
      <c r="AA16" s="60">
        <f>G85</f>
        <v>0</v>
      </c>
      <c r="AB16" s="60">
        <f>K85</f>
        <v>4</v>
      </c>
      <c r="AC16" s="62">
        <f>O85</f>
        <v>0</v>
      </c>
      <c r="AD16" s="62">
        <f>S85</f>
        <v>0</v>
      </c>
      <c r="AE16" s="61">
        <f t="shared" si="7"/>
        <v>4</v>
      </c>
    </row>
    <row r="17">
      <c r="A17" s="26" t="s">
        <v>40</v>
      </c>
      <c r="B17" s="38">
        <v>1.0</v>
      </c>
      <c r="C17" s="31"/>
      <c r="D17" s="31"/>
      <c r="E17" s="23">
        <f t="shared" si="1"/>
        <v>1</v>
      </c>
      <c r="F17" s="38">
        <v>1.0</v>
      </c>
      <c r="G17" s="31"/>
      <c r="H17" s="64">
        <v>1.0</v>
      </c>
      <c r="I17" s="23">
        <f t="shared" si="2"/>
        <v>2</v>
      </c>
      <c r="J17" s="30"/>
      <c r="K17" s="31"/>
      <c r="L17" s="64"/>
      <c r="M17" s="23">
        <f t="shared" si="3"/>
        <v>0</v>
      </c>
      <c r="N17" s="30"/>
      <c r="O17" s="31"/>
      <c r="P17" s="31"/>
      <c r="Q17" s="23">
        <f t="shared" si="4"/>
        <v>0</v>
      </c>
      <c r="R17" s="38">
        <v>1.0</v>
      </c>
      <c r="S17" s="31"/>
      <c r="T17" s="64">
        <v>2.0</v>
      </c>
      <c r="U17" s="23">
        <f t="shared" si="5"/>
        <v>3</v>
      </c>
      <c r="V17" s="24">
        <f t="shared" si="6"/>
        <v>6</v>
      </c>
      <c r="W17" s="25" t="s">
        <v>22</v>
      </c>
      <c r="X17" s="49"/>
      <c r="Y17" s="59" t="s">
        <v>41</v>
      </c>
      <c r="Z17" s="60">
        <f>B86</f>
        <v>6</v>
      </c>
      <c r="AA17" s="65">
        <f>F86</f>
        <v>11</v>
      </c>
      <c r="AB17" s="60">
        <f>J86</f>
        <v>7</v>
      </c>
      <c r="AC17" s="62">
        <f>N86</f>
        <v>4</v>
      </c>
      <c r="AD17" s="62">
        <f>R86</f>
        <v>5</v>
      </c>
      <c r="AE17" s="66">
        <f t="shared" si="7"/>
        <v>33</v>
      </c>
    </row>
    <row r="18">
      <c r="A18" s="26" t="s">
        <v>42</v>
      </c>
      <c r="B18" s="30"/>
      <c r="C18" s="31"/>
      <c r="D18" s="31"/>
      <c r="E18" s="23">
        <f t="shared" si="1"/>
        <v>0</v>
      </c>
      <c r="F18" s="30"/>
      <c r="G18" s="31"/>
      <c r="H18" s="31"/>
      <c r="I18" s="23">
        <f t="shared" si="2"/>
        <v>0</v>
      </c>
      <c r="J18" s="30"/>
      <c r="K18" s="31"/>
      <c r="L18" s="31"/>
      <c r="M18" s="23">
        <f t="shared" si="3"/>
        <v>0</v>
      </c>
      <c r="N18" s="30"/>
      <c r="O18" s="31"/>
      <c r="P18" s="31"/>
      <c r="Q18" s="23">
        <f t="shared" si="4"/>
        <v>0</v>
      </c>
      <c r="R18" s="30"/>
      <c r="S18" s="31"/>
      <c r="T18" s="31"/>
      <c r="U18" s="23">
        <f t="shared" si="5"/>
        <v>0</v>
      </c>
      <c r="V18" s="24">
        <f t="shared" si="6"/>
        <v>0</v>
      </c>
      <c r="W18" s="25" t="s">
        <v>22</v>
      </c>
      <c r="X18" s="49"/>
      <c r="Y18" s="67" t="s">
        <v>43</v>
      </c>
      <c r="Z18" s="68">
        <f t="shared" ref="Z18:AD18" si="8">sum(Z15:Z17)</f>
        <v>18</v>
      </c>
      <c r="AA18" s="68">
        <f t="shared" si="8"/>
        <v>20</v>
      </c>
      <c r="AB18" s="68">
        <f t="shared" si="8"/>
        <v>13</v>
      </c>
      <c r="AC18" s="68">
        <f t="shared" si="8"/>
        <v>5</v>
      </c>
      <c r="AD18" s="69">
        <f t="shared" si="8"/>
        <v>14</v>
      </c>
      <c r="AE18" s="68">
        <f t="shared" si="7"/>
        <v>70</v>
      </c>
    </row>
    <row r="19">
      <c r="A19" s="26" t="s">
        <v>44</v>
      </c>
      <c r="B19" s="30"/>
      <c r="C19" s="31"/>
      <c r="D19" s="31"/>
      <c r="E19" s="23">
        <f t="shared" si="1"/>
        <v>0</v>
      </c>
      <c r="F19" s="30"/>
      <c r="G19" s="31"/>
      <c r="H19" s="31"/>
      <c r="I19" s="23">
        <f t="shared" si="2"/>
        <v>0</v>
      </c>
      <c r="J19" s="30"/>
      <c r="K19" s="31"/>
      <c r="L19" s="31"/>
      <c r="M19" s="23">
        <f t="shared" si="3"/>
        <v>0</v>
      </c>
      <c r="N19" s="30"/>
      <c r="O19" s="31"/>
      <c r="P19" s="31"/>
      <c r="Q19" s="23">
        <f t="shared" si="4"/>
        <v>0</v>
      </c>
      <c r="R19" s="30"/>
      <c r="S19" s="31"/>
      <c r="T19" s="31"/>
      <c r="U19" s="23">
        <f t="shared" si="5"/>
        <v>0</v>
      </c>
      <c r="V19" s="24">
        <f t="shared" si="6"/>
        <v>0</v>
      </c>
      <c r="W19" s="25" t="s">
        <v>22</v>
      </c>
      <c r="X19" s="25"/>
      <c r="Y19" s="49"/>
      <c r="Z19" s="49"/>
    </row>
    <row r="20">
      <c r="A20" s="70" t="s">
        <v>45</v>
      </c>
      <c r="B20" s="30"/>
      <c r="C20" s="31"/>
      <c r="D20" s="31"/>
      <c r="E20" s="23">
        <f t="shared" si="1"/>
        <v>0</v>
      </c>
      <c r="F20" s="30"/>
      <c r="G20" s="31"/>
      <c r="H20" s="31"/>
      <c r="I20" s="23">
        <f t="shared" si="2"/>
        <v>0</v>
      </c>
      <c r="J20" s="30"/>
      <c r="K20" s="31"/>
      <c r="L20" s="31"/>
      <c r="M20" s="23">
        <f t="shared" si="3"/>
        <v>0</v>
      </c>
      <c r="N20" s="30"/>
      <c r="O20" s="31"/>
      <c r="P20" s="31"/>
      <c r="Q20" s="23">
        <f t="shared" si="4"/>
        <v>0</v>
      </c>
      <c r="R20" s="30"/>
      <c r="S20" s="31"/>
      <c r="T20" s="31"/>
      <c r="U20" s="23">
        <f t="shared" si="5"/>
        <v>0</v>
      </c>
      <c r="V20" s="24">
        <f t="shared" si="6"/>
        <v>0</v>
      </c>
      <c r="W20" s="25" t="s">
        <v>22</v>
      </c>
      <c r="X20" s="49"/>
      <c r="Y20" s="49"/>
      <c r="Z20" s="49"/>
    </row>
    <row r="21">
      <c r="A21" s="26" t="s">
        <v>46</v>
      </c>
      <c r="B21" s="30"/>
      <c r="C21" s="31"/>
      <c r="D21" s="31"/>
      <c r="E21" s="23">
        <f t="shared" si="1"/>
        <v>0</v>
      </c>
      <c r="F21" s="30"/>
      <c r="G21" s="31"/>
      <c r="H21" s="31"/>
      <c r="I21" s="23">
        <f t="shared" si="2"/>
        <v>0</v>
      </c>
      <c r="J21" s="30"/>
      <c r="K21" s="31"/>
      <c r="L21" s="31"/>
      <c r="M21" s="23">
        <f t="shared" si="3"/>
        <v>0</v>
      </c>
      <c r="N21" s="30"/>
      <c r="O21" s="31"/>
      <c r="P21" s="31"/>
      <c r="Q21" s="23">
        <f t="shared" si="4"/>
        <v>0</v>
      </c>
      <c r="R21" s="30"/>
      <c r="S21" s="31"/>
      <c r="T21" s="31"/>
      <c r="U21" s="23">
        <f t="shared" si="5"/>
        <v>0</v>
      </c>
      <c r="V21" s="24">
        <f t="shared" si="6"/>
        <v>0</v>
      </c>
      <c r="W21" s="25" t="s">
        <v>23</v>
      </c>
      <c r="X21" s="25"/>
      <c r="Y21" s="71" t="s">
        <v>47</v>
      </c>
      <c r="Z21" s="72"/>
      <c r="AA21" s="72"/>
      <c r="AB21" s="72"/>
      <c r="AC21" s="73"/>
    </row>
    <row r="22">
      <c r="A22" s="26" t="s">
        <v>48</v>
      </c>
      <c r="B22" s="30"/>
      <c r="C22" s="31"/>
      <c r="D22" s="31"/>
      <c r="E22" s="23">
        <f t="shared" si="1"/>
        <v>0</v>
      </c>
      <c r="F22" s="30"/>
      <c r="G22" s="31"/>
      <c r="H22" s="31"/>
      <c r="I22" s="23">
        <f t="shared" si="2"/>
        <v>0</v>
      </c>
      <c r="J22" s="30"/>
      <c r="K22" s="31"/>
      <c r="L22" s="31"/>
      <c r="M22" s="23">
        <f t="shared" si="3"/>
        <v>0</v>
      </c>
      <c r="N22" s="30"/>
      <c r="O22" s="31"/>
      <c r="P22" s="31"/>
      <c r="Q22" s="23">
        <f t="shared" si="4"/>
        <v>0</v>
      </c>
      <c r="R22" s="30"/>
      <c r="S22" s="31"/>
      <c r="T22" s="31"/>
      <c r="U22" s="23">
        <f t="shared" si="5"/>
        <v>0</v>
      </c>
      <c r="V22" s="24">
        <f t="shared" si="6"/>
        <v>0</v>
      </c>
      <c r="W22" s="25" t="s">
        <v>22</v>
      </c>
      <c r="X22" s="49"/>
      <c r="Y22" s="74" t="s">
        <v>49</v>
      </c>
      <c r="Z22" s="75" t="s">
        <v>50</v>
      </c>
      <c r="AA22" s="75" t="s">
        <v>51</v>
      </c>
      <c r="AB22" s="75" t="s">
        <v>2</v>
      </c>
      <c r="AC22" s="75" t="s">
        <v>41</v>
      </c>
    </row>
    <row r="23">
      <c r="A23" s="70" t="s">
        <v>52</v>
      </c>
      <c r="B23" s="30"/>
      <c r="C23" s="31"/>
      <c r="D23" s="31"/>
      <c r="E23" s="23">
        <f t="shared" si="1"/>
        <v>0</v>
      </c>
      <c r="F23" s="30"/>
      <c r="G23" s="31"/>
      <c r="H23" s="31"/>
      <c r="I23" s="23">
        <f t="shared" si="2"/>
        <v>0</v>
      </c>
      <c r="J23" s="30"/>
      <c r="K23" s="31"/>
      <c r="L23" s="31"/>
      <c r="M23" s="23">
        <f t="shared" si="3"/>
        <v>0</v>
      </c>
      <c r="N23" s="30"/>
      <c r="O23" s="31"/>
      <c r="P23" s="64">
        <v>1.0</v>
      </c>
      <c r="Q23" s="23">
        <f t="shared" si="4"/>
        <v>1</v>
      </c>
      <c r="R23" s="30"/>
      <c r="S23" s="31"/>
      <c r="T23" s="31"/>
      <c r="U23" s="23">
        <f t="shared" si="5"/>
        <v>0</v>
      </c>
      <c r="V23" s="24">
        <f t="shared" si="6"/>
        <v>1</v>
      </c>
      <c r="W23" s="25" t="s">
        <v>8</v>
      </c>
      <c r="X23" s="49"/>
      <c r="Y23" s="76">
        <v>45179.0</v>
      </c>
      <c r="Z23" s="77"/>
      <c r="AA23" s="77"/>
      <c r="AB23" s="78" t="b">
        <v>0</v>
      </c>
      <c r="AC23" s="79" t="b">
        <v>0</v>
      </c>
    </row>
    <row r="24">
      <c r="A24" s="26" t="s">
        <v>53</v>
      </c>
      <c r="B24" s="30"/>
      <c r="C24" s="31"/>
      <c r="D24" s="64">
        <v>2.0</v>
      </c>
      <c r="E24" s="23">
        <f t="shared" si="1"/>
        <v>2</v>
      </c>
      <c r="F24" s="38">
        <v>1.0</v>
      </c>
      <c r="G24" s="31"/>
      <c r="H24" s="64">
        <v>3.0</v>
      </c>
      <c r="I24" s="23">
        <f t="shared" si="2"/>
        <v>4</v>
      </c>
      <c r="J24" s="30"/>
      <c r="K24" s="31"/>
      <c r="L24" s="64"/>
      <c r="M24" s="23">
        <f t="shared" si="3"/>
        <v>0</v>
      </c>
      <c r="N24" s="30"/>
      <c r="O24" s="31"/>
      <c r="P24" s="64">
        <v>1.0</v>
      </c>
      <c r="Q24" s="23">
        <f t="shared" si="4"/>
        <v>1</v>
      </c>
      <c r="R24" s="30"/>
      <c r="S24" s="31"/>
      <c r="T24" s="31"/>
      <c r="U24" s="23">
        <f t="shared" si="5"/>
        <v>0</v>
      </c>
      <c r="V24" s="24">
        <f t="shared" si="6"/>
        <v>7</v>
      </c>
      <c r="W24" s="25" t="s">
        <v>8</v>
      </c>
      <c r="X24" s="49"/>
      <c r="Y24" s="76">
        <v>45210.0</v>
      </c>
      <c r="Z24" s="77"/>
      <c r="AA24" s="77"/>
      <c r="AB24" s="80" t="b">
        <v>0</v>
      </c>
      <c r="AC24" s="81" t="b">
        <v>0</v>
      </c>
    </row>
    <row r="25">
      <c r="A25" s="26" t="s">
        <v>54</v>
      </c>
      <c r="B25" s="30"/>
      <c r="C25" s="31"/>
      <c r="D25" s="31"/>
      <c r="E25" s="23">
        <f t="shared" si="1"/>
        <v>0</v>
      </c>
      <c r="F25" s="30"/>
      <c r="G25" s="31"/>
      <c r="H25" s="31"/>
      <c r="I25" s="23">
        <f t="shared" si="2"/>
        <v>0</v>
      </c>
      <c r="J25" s="30"/>
      <c r="K25" s="31"/>
      <c r="L25" s="31"/>
      <c r="M25" s="23">
        <f t="shared" si="3"/>
        <v>0</v>
      </c>
      <c r="N25" s="30"/>
      <c r="O25" s="31"/>
      <c r="P25" s="31"/>
      <c r="Q25" s="23">
        <f t="shared" si="4"/>
        <v>0</v>
      </c>
      <c r="R25" s="30"/>
      <c r="S25" s="31"/>
      <c r="T25" s="31"/>
      <c r="U25" s="23">
        <f t="shared" si="5"/>
        <v>0</v>
      </c>
      <c r="V25" s="24">
        <f t="shared" si="6"/>
        <v>0</v>
      </c>
      <c r="W25" s="25" t="s">
        <v>8</v>
      </c>
      <c r="X25" s="49"/>
      <c r="Y25" s="76">
        <v>45242.0</v>
      </c>
      <c r="Z25" s="77"/>
      <c r="AA25" s="77"/>
      <c r="AB25" s="80" t="b">
        <v>0</v>
      </c>
      <c r="AC25" s="81" t="b">
        <v>0</v>
      </c>
    </row>
    <row r="26">
      <c r="A26" s="26" t="s">
        <v>55</v>
      </c>
      <c r="B26" s="30"/>
      <c r="C26" s="31"/>
      <c r="D26" s="31"/>
      <c r="E26" s="23">
        <f t="shared" si="1"/>
        <v>0</v>
      </c>
      <c r="F26" s="30"/>
      <c r="G26" s="31"/>
      <c r="H26" s="31"/>
      <c r="I26" s="23">
        <f t="shared" si="2"/>
        <v>0</v>
      </c>
      <c r="J26" s="30"/>
      <c r="K26" s="31"/>
      <c r="L26" s="31"/>
      <c r="M26" s="23">
        <f t="shared" si="3"/>
        <v>0</v>
      </c>
      <c r="N26" s="30"/>
      <c r="O26" s="31"/>
      <c r="P26" s="31"/>
      <c r="Q26" s="23">
        <f t="shared" si="4"/>
        <v>0</v>
      </c>
      <c r="R26" s="30"/>
      <c r="S26" s="31"/>
      <c r="T26" s="31"/>
      <c r="U26" s="23">
        <f t="shared" si="5"/>
        <v>0</v>
      </c>
      <c r="V26" s="24">
        <f t="shared" si="6"/>
        <v>0</v>
      </c>
      <c r="W26" s="25" t="s">
        <v>22</v>
      </c>
      <c r="Y26" s="76">
        <v>45261.0</v>
      </c>
      <c r="Z26" s="77"/>
      <c r="AA26" s="77"/>
      <c r="AB26" s="80" t="b">
        <v>0</v>
      </c>
      <c r="AC26" s="81" t="b">
        <v>0</v>
      </c>
    </row>
    <row r="27">
      <c r="A27" s="26" t="s">
        <v>56</v>
      </c>
      <c r="B27" s="30"/>
      <c r="C27" s="31"/>
      <c r="D27" s="31"/>
      <c r="E27" s="23">
        <f t="shared" si="1"/>
        <v>0</v>
      </c>
      <c r="F27" s="30"/>
      <c r="G27" s="31"/>
      <c r="H27" s="31"/>
      <c r="I27" s="23">
        <f t="shared" si="2"/>
        <v>0</v>
      </c>
      <c r="J27" s="30"/>
      <c r="K27" s="31"/>
      <c r="L27" s="31"/>
      <c r="M27" s="23">
        <f t="shared" si="3"/>
        <v>0</v>
      </c>
      <c r="N27" s="30"/>
      <c r="O27" s="31"/>
      <c r="P27" s="31"/>
      <c r="Q27" s="23">
        <f t="shared" si="4"/>
        <v>0</v>
      </c>
      <c r="R27" s="38">
        <v>1.0</v>
      </c>
      <c r="S27" s="31"/>
      <c r="T27" s="31"/>
      <c r="U27" s="23">
        <f t="shared" si="5"/>
        <v>1</v>
      </c>
      <c r="V27" s="24">
        <f t="shared" si="6"/>
        <v>1</v>
      </c>
      <c r="W27" s="25" t="s">
        <v>8</v>
      </c>
      <c r="Y27" s="76">
        <v>44928.0</v>
      </c>
      <c r="Z27" s="77"/>
      <c r="AA27" s="77"/>
      <c r="AB27" s="80" t="b">
        <v>0</v>
      </c>
      <c r="AC27" s="81" t="b">
        <v>0</v>
      </c>
    </row>
    <row r="28">
      <c r="A28" s="70" t="s">
        <v>57</v>
      </c>
      <c r="B28" s="38">
        <v>1.0</v>
      </c>
      <c r="C28" s="31"/>
      <c r="D28" s="31"/>
      <c r="E28" s="23">
        <f t="shared" si="1"/>
        <v>1</v>
      </c>
      <c r="F28" s="30"/>
      <c r="G28" s="31"/>
      <c r="H28" s="64">
        <v>1.0</v>
      </c>
      <c r="I28" s="23">
        <f t="shared" si="2"/>
        <v>1</v>
      </c>
      <c r="J28" s="30"/>
      <c r="K28" s="31"/>
      <c r="L28" s="64"/>
      <c r="M28" s="23">
        <f t="shared" si="3"/>
        <v>0</v>
      </c>
      <c r="N28" s="30"/>
      <c r="O28" s="31"/>
      <c r="P28" s="31"/>
      <c r="Q28" s="23">
        <f t="shared" si="4"/>
        <v>0</v>
      </c>
      <c r="R28" s="30"/>
      <c r="S28" s="31"/>
      <c r="T28" s="31"/>
      <c r="U28" s="23">
        <f t="shared" si="5"/>
        <v>0</v>
      </c>
      <c r="V28" s="24">
        <f t="shared" si="6"/>
        <v>2</v>
      </c>
      <c r="W28" s="25" t="s">
        <v>8</v>
      </c>
      <c r="X28" s="49"/>
      <c r="Y28" s="76">
        <v>44960.0</v>
      </c>
      <c r="Z28" s="77"/>
      <c r="AA28" s="77"/>
      <c r="AB28" s="80" t="b">
        <v>0</v>
      </c>
      <c r="AC28" s="81" t="b">
        <v>0</v>
      </c>
    </row>
    <row r="29">
      <c r="A29" s="26" t="s">
        <v>58</v>
      </c>
      <c r="B29" s="30"/>
      <c r="C29" s="31"/>
      <c r="D29" s="31"/>
      <c r="E29" s="23">
        <f t="shared" si="1"/>
        <v>0</v>
      </c>
      <c r="F29" s="30"/>
      <c r="G29" s="31"/>
      <c r="H29" s="31"/>
      <c r="I29" s="23">
        <f t="shared" si="2"/>
        <v>0</v>
      </c>
      <c r="J29" s="30"/>
      <c r="K29" s="31"/>
      <c r="L29" s="31"/>
      <c r="M29" s="23">
        <f t="shared" si="3"/>
        <v>0</v>
      </c>
      <c r="N29" s="30"/>
      <c r="O29" s="31"/>
      <c r="P29" s="31"/>
      <c r="Q29" s="23">
        <f t="shared" si="4"/>
        <v>0</v>
      </c>
      <c r="R29" s="30"/>
      <c r="S29" s="31"/>
      <c r="T29" s="31"/>
      <c r="U29" s="23">
        <f t="shared" si="5"/>
        <v>0</v>
      </c>
      <c r="V29" s="24">
        <f t="shared" si="6"/>
        <v>0</v>
      </c>
      <c r="W29" s="25" t="s">
        <v>8</v>
      </c>
      <c r="X29" s="49"/>
      <c r="Y29" s="76">
        <v>44989.0</v>
      </c>
      <c r="Z29" s="77"/>
      <c r="AA29" s="77"/>
      <c r="AB29" s="80" t="b">
        <v>0</v>
      </c>
      <c r="AC29" s="81" t="b">
        <v>0</v>
      </c>
    </row>
    <row r="30">
      <c r="A30" s="26" t="s">
        <v>59</v>
      </c>
      <c r="B30" s="30"/>
      <c r="C30" s="31"/>
      <c r="D30" s="64">
        <v>1.0</v>
      </c>
      <c r="E30" s="23">
        <f t="shared" si="1"/>
        <v>1</v>
      </c>
      <c r="F30" s="30"/>
      <c r="G30" s="31"/>
      <c r="H30" s="64">
        <v>3.0</v>
      </c>
      <c r="I30" s="23">
        <f t="shared" si="2"/>
        <v>3</v>
      </c>
      <c r="J30" s="30"/>
      <c r="K30" s="31"/>
      <c r="L30" s="64"/>
      <c r="M30" s="23">
        <f t="shared" si="3"/>
        <v>0</v>
      </c>
      <c r="N30" s="30"/>
      <c r="O30" s="31"/>
      <c r="P30" s="31"/>
      <c r="Q30" s="23">
        <f t="shared" si="4"/>
        <v>0</v>
      </c>
      <c r="R30" s="38">
        <v>1.0</v>
      </c>
      <c r="S30" s="31"/>
      <c r="T30" s="31"/>
      <c r="U30" s="23">
        <f t="shared" si="5"/>
        <v>1</v>
      </c>
      <c r="V30" s="24">
        <f t="shared" si="6"/>
        <v>5</v>
      </c>
      <c r="W30" s="25" t="s">
        <v>25</v>
      </c>
      <c r="X30" s="49"/>
      <c r="Y30" s="49"/>
      <c r="Z30" s="49"/>
      <c r="AA30" s="49"/>
      <c r="AB30" s="49"/>
      <c r="AC30" s="49"/>
    </row>
    <row r="31">
      <c r="A31" s="70" t="s">
        <v>60</v>
      </c>
      <c r="B31" s="30"/>
      <c r="C31" s="31"/>
      <c r="D31" s="31"/>
      <c r="E31" s="23">
        <f t="shared" si="1"/>
        <v>0</v>
      </c>
      <c r="F31" s="30"/>
      <c r="G31" s="31"/>
      <c r="H31" s="31"/>
      <c r="I31" s="23">
        <f t="shared" si="2"/>
        <v>0</v>
      </c>
      <c r="J31" s="30"/>
      <c r="K31" s="31"/>
      <c r="L31" s="31"/>
      <c r="M31" s="23">
        <f t="shared" si="3"/>
        <v>0</v>
      </c>
      <c r="N31" s="30"/>
      <c r="O31" s="31"/>
      <c r="P31" s="31"/>
      <c r="Q31" s="23">
        <f t="shared" si="4"/>
        <v>0</v>
      </c>
      <c r="R31" s="30"/>
      <c r="S31" s="31"/>
      <c r="T31" s="31"/>
      <c r="U31" s="23">
        <f t="shared" si="5"/>
        <v>0</v>
      </c>
      <c r="V31" s="24">
        <f t="shared" si="6"/>
        <v>0</v>
      </c>
      <c r="W31" s="25" t="s">
        <v>22</v>
      </c>
      <c r="X31" s="49"/>
      <c r="Y31" s="82"/>
      <c r="Z31" s="82"/>
      <c r="AA31" s="82"/>
      <c r="AB31" s="82"/>
      <c r="AC31" s="82"/>
    </row>
    <row r="32">
      <c r="A32" s="26" t="s">
        <v>61</v>
      </c>
      <c r="B32" s="30"/>
      <c r="C32" s="31"/>
      <c r="D32" s="31"/>
      <c r="E32" s="23">
        <f t="shared" si="1"/>
        <v>0</v>
      </c>
      <c r="F32" s="30"/>
      <c r="G32" s="31"/>
      <c r="H32" s="31"/>
      <c r="I32" s="23">
        <f t="shared" si="2"/>
        <v>0</v>
      </c>
      <c r="J32" s="30"/>
      <c r="K32" s="31"/>
      <c r="L32" s="31"/>
      <c r="M32" s="23">
        <f t="shared" si="3"/>
        <v>0</v>
      </c>
      <c r="N32" s="30"/>
      <c r="O32" s="31"/>
      <c r="P32" s="31"/>
      <c r="Q32" s="23">
        <f t="shared" si="4"/>
        <v>0</v>
      </c>
      <c r="R32" s="30"/>
      <c r="S32" s="31"/>
      <c r="T32" s="31"/>
      <c r="U32" s="23">
        <f t="shared" si="5"/>
        <v>0</v>
      </c>
      <c r="V32" s="24">
        <f t="shared" si="6"/>
        <v>0</v>
      </c>
      <c r="W32" s="25" t="s">
        <v>8</v>
      </c>
      <c r="X32" s="49"/>
      <c r="Y32" s="83" t="s">
        <v>62</v>
      </c>
      <c r="Z32" s="84"/>
      <c r="AA32" s="84"/>
      <c r="AB32" s="84"/>
      <c r="AC32" s="85"/>
    </row>
    <row r="33">
      <c r="A33" s="26" t="s">
        <v>63</v>
      </c>
      <c r="B33" s="38">
        <v>1.0</v>
      </c>
      <c r="C33" s="31"/>
      <c r="D33" s="31"/>
      <c r="E33" s="23">
        <f t="shared" si="1"/>
        <v>1</v>
      </c>
      <c r="F33" s="30"/>
      <c r="G33" s="31"/>
      <c r="H33" s="64">
        <v>2.0</v>
      </c>
      <c r="I33" s="23">
        <f t="shared" si="2"/>
        <v>2</v>
      </c>
      <c r="J33" s="30"/>
      <c r="K33" s="31"/>
      <c r="L33" s="31"/>
      <c r="M33" s="23">
        <f t="shared" si="3"/>
        <v>0</v>
      </c>
      <c r="N33" s="30"/>
      <c r="O33" s="31"/>
      <c r="P33" s="31"/>
      <c r="Q33" s="23">
        <f t="shared" si="4"/>
        <v>0</v>
      </c>
      <c r="R33" s="30"/>
      <c r="S33" s="31"/>
      <c r="T33" s="31"/>
      <c r="U33" s="23">
        <f t="shared" si="5"/>
        <v>0</v>
      </c>
      <c r="V33" s="24">
        <f t="shared" si="6"/>
        <v>3</v>
      </c>
      <c r="W33" s="25" t="s">
        <v>8</v>
      </c>
      <c r="X33" s="49"/>
      <c r="Y33" s="74" t="s">
        <v>49</v>
      </c>
      <c r="Z33" s="75" t="s">
        <v>50</v>
      </c>
      <c r="AA33" s="75" t="s">
        <v>64</v>
      </c>
      <c r="AB33" s="75" t="s">
        <v>2</v>
      </c>
      <c r="AC33" s="75" t="s">
        <v>41</v>
      </c>
    </row>
    <row r="34">
      <c r="A34" s="26" t="s">
        <v>65</v>
      </c>
      <c r="B34" s="30"/>
      <c r="C34" s="31"/>
      <c r="D34" s="31"/>
      <c r="E34" s="23">
        <f t="shared" si="1"/>
        <v>0</v>
      </c>
      <c r="F34" s="30"/>
      <c r="G34" s="31"/>
      <c r="H34" s="31"/>
      <c r="I34" s="23">
        <f t="shared" si="2"/>
        <v>0</v>
      </c>
      <c r="J34" s="30"/>
      <c r="K34" s="31"/>
      <c r="L34" s="31"/>
      <c r="M34" s="23">
        <f t="shared" si="3"/>
        <v>0</v>
      </c>
      <c r="N34" s="30"/>
      <c r="O34" s="31"/>
      <c r="P34" s="31"/>
      <c r="Q34" s="23">
        <f t="shared" si="4"/>
        <v>0</v>
      </c>
      <c r="R34" s="30"/>
      <c r="S34" s="31"/>
      <c r="T34" s="31"/>
      <c r="U34" s="23">
        <f t="shared" si="5"/>
        <v>0</v>
      </c>
      <c r="V34" s="24">
        <f t="shared" si="6"/>
        <v>0</v>
      </c>
      <c r="W34" s="25" t="s">
        <v>8</v>
      </c>
      <c r="X34" s="49"/>
      <c r="Y34" s="76">
        <v>45179.0</v>
      </c>
      <c r="Z34" s="77"/>
      <c r="AA34" s="77"/>
      <c r="AB34" s="78" t="b">
        <v>0</v>
      </c>
      <c r="AC34" s="79" t="b">
        <v>0</v>
      </c>
    </row>
    <row r="35">
      <c r="A35" s="26" t="s">
        <v>66</v>
      </c>
      <c r="B35" s="38">
        <v>1.0</v>
      </c>
      <c r="C35" s="31"/>
      <c r="D35" s="31"/>
      <c r="E35" s="23">
        <f t="shared" si="1"/>
        <v>1</v>
      </c>
      <c r="F35" s="30"/>
      <c r="G35" s="31"/>
      <c r="H35" s="31"/>
      <c r="I35" s="23">
        <f t="shared" si="2"/>
        <v>0</v>
      </c>
      <c r="J35" s="30"/>
      <c r="K35" s="31"/>
      <c r="L35" s="64">
        <v>1.0</v>
      </c>
      <c r="M35" s="23">
        <f t="shared" si="3"/>
        <v>1</v>
      </c>
      <c r="N35" s="30"/>
      <c r="O35" s="31"/>
      <c r="P35" s="31"/>
      <c r="Q35" s="23">
        <f t="shared" si="4"/>
        <v>0</v>
      </c>
      <c r="R35" s="30"/>
      <c r="S35" s="31"/>
      <c r="T35" s="31"/>
      <c r="U35" s="23">
        <f t="shared" si="5"/>
        <v>0</v>
      </c>
      <c r="V35" s="24">
        <f t="shared" si="6"/>
        <v>2</v>
      </c>
      <c r="W35" s="25" t="s">
        <v>8</v>
      </c>
      <c r="X35" s="49"/>
      <c r="Y35" s="76">
        <v>45210.0</v>
      </c>
      <c r="Z35" s="77"/>
      <c r="AA35" s="77"/>
      <c r="AB35" s="80" t="b">
        <v>0</v>
      </c>
      <c r="AC35" s="81" t="b">
        <v>0</v>
      </c>
    </row>
    <row r="36">
      <c r="A36" s="26" t="s">
        <v>67</v>
      </c>
      <c r="B36" s="38"/>
      <c r="C36" s="31"/>
      <c r="D36" s="31"/>
      <c r="E36" s="23">
        <f t="shared" si="1"/>
        <v>0</v>
      </c>
      <c r="F36" s="38">
        <v>1.0</v>
      </c>
      <c r="G36" s="31"/>
      <c r="H36" s="64">
        <v>1.0</v>
      </c>
      <c r="I36" s="23">
        <f t="shared" si="2"/>
        <v>2</v>
      </c>
      <c r="J36" s="30"/>
      <c r="K36" s="31"/>
      <c r="L36" s="31"/>
      <c r="M36" s="23">
        <f t="shared" si="3"/>
        <v>0</v>
      </c>
      <c r="N36" s="38">
        <v>1.0</v>
      </c>
      <c r="O36" s="31"/>
      <c r="P36" s="31"/>
      <c r="Q36" s="23">
        <f t="shared" si="4"/>
        <v>1</v>
      </c>
      <c r="R36" s="30"/>
      <c r="S36" s="31"/>
      <c r="T36" s="31"/>
      <c r="U36" s="23">
        <f t="shared" si="5"/>
        <v>0</v>
      </c>
      <c r="V36" s="24">
        <f t="shared" si="6"/>
        <v>3</v>
      </c>
      <c r="W36" s="25" t="s">
        <v>20</v>
      </c>
      <c r="X36" s="49"/>
      <c r="Y36" s="76">
        <v>45242.0</v>
      </c>
      <c r="Z36" s="77"/>
      <c r="AA36" s="77"/>
      <c r="AB36" s="80" t="b">
        <v>0</v>
      </c>
      <c r="AC36" s="81" t="b">
        <v>0</v>
      </c>
    </row>
    <row r="37">
      <c r="A37" s="26" t="s">
        <v>68</v>
      </c>
      <c r="B37" s="30"/>
      <c r="C37" s="31"/>
      <c r="D37" s="31"/>
      <c r="E37" s="23">
        <f t="shared" si="1"/>
        <v>0</v>
      </c>
      <c r="F37" s="30"/>
      <c r="G37" s="31"/>
      <c r="H37" s="31"/>
      <c r="I37" s="23">
        <f t="shared" si="2"/>
        <v>0</v>
      </c>
      <c r="J37" s="30"/>
      <c r="K37" s="31"/>
      <c r="L37" s="31"/>
      <c r="M37" s="23">
        <f t="shared" si="3"/>
        <v>0</v>
      </c>
      <c r="N37" s="30"/>
      <c r="O37" s="31"/>
      <c r="P37" s="31"/>
      <c r="Q37" s="23">
        <f t="shared" si="4"/>
        <v>0</v>
      </c>
      <c r="R37" s="30"/>
      <c r="S37" s="31"/>
      <c r="T37" s="31"/>
      <c r="U37" s="23">
        <f t="shared" si="5"/>
        <v>0</v>
      </c>
      <c r="V37" s="24">
        <f t="shared" si="6"/>
        <v>0</v>
      </c>
      <c r="W37" s="25" t="s">
        <v>8</v>
      </c>
      <c r="X37" s="49"/>
      <c r="Y37" s="76">
        <v>45261.0</v>
      </c>
      <c r="Z37" s="77"/>
      <c r="AA37" s="77"/>
      <c r="AB37" s="80" t="b">
        <v>0</v>
      </c>
      <c r="AC37" s="81" t="b">
        <v>0</v>
      </c>
    </row>
    <row r="38">
      <c r="A38" s="26" t="s">
        <v>69</v>
      </c>
      <c r="B38" s="30"/>
      <c r="C38" s="31"/>
      <c r="D38" s="64">
        <v>1.0</v>
      </c>
      <c r="E38" s="23">
        <f t="shared" si="1"/>
        <v>1</v>
      </c>
      <c r="F38" s="30"/>
      <c r="G38" s="31"/>
      <c r="H38" s="31"/>
      <c r="I38" s="23">
        <f t="shared" si="2"/>
        <v>0</v>
      </c>
      <c r="J38" s="30"/>
      <c r="K38" s="31"/>
      <c r="L38" s="31"/>
      <c r="M38" s="23">
        <f t="shared" si="3"/>
        <v>0</v>
      </c>
      <c r="N38" s="30"/>
      <c r="O38" s="31"/>
      <c r="P38" s="31"/>
      <c r="Q38" s="23">
        <f t="shared" si="4"/>
        <v>0</v>
      </c>
      <c r="R38" s="30"/>
      <c r="S38" s="31"/>
      <c r="T38" s="31"/>
      <c r="U38" s="23">
        <f t="shared" si="5"/>
        <v>0</v>
      </c>
      <c r="V38" s="24">
        <f t="shared" si="6"/>
        <v>1</v>
      </c>
      <c r="W38" s="25" t="s">
        <v>8</v>
      </c>
      <c r="X38" s="49"/>
      <c r="Y38" s="76">
        <v>44928.0</v>
      </c>
      <c r="Z38" s="77"/>
      <c r="AA38" s="77"/>
      <c r="AB38" s="80" t="b">
        <v>0</v>
      </c>
      <c r="AC38" s="81" t="b">
        <v>0</v>
      </c>
    </row>
    <row r="39">
      <c r="A39" s="26" t="s">
        <v>70</v>
      </c>
      <c r="B39" s="30"/>
      <c r="C39" s="31"/>
      <c r="D39" s="31"/>
      <c r="E39" s="23">
        <f t="shared" si="1"/>
        <v>0</v>
      </c>
      <c r="F39" s="30"/>
      <c r="G39" s="31"/>
      <c r="H39" s="31"/>
      <c r="I39" s="23">
        <f t="shared" si="2"/>
        <v>0</v>
      </c>
      <c r="J39" s="30"/>
      <c r="K39" s="31"/>
      <c r="L39" s="31"/>
      <c r="M39" s="23">
        <f t="shared" si="3"/>
        <v>0</v>
      </c>
      <c r="N39" s="30"/>
      <c r="O39" s="31"/>
      <c r="P39" s="31"/>
      <c r="Q39" s="23">
        <f t="shared" si="4"/>
        <v>0</v>
      </c>
      <c r="R39" s="30"/>
      <c r="S39" s="31"/>
      <c r="T39" s="31"/>
      <c r="U39" s="23">
        <f t="shared" si="5"/>
        <v>0</v>
      </c>
      <c r="V39" s="24">
        <f t="shared" si="6"/>
        <v>0</v>
      </c>
      <c r="W39" s="25" t="s">
        <v>8</v>
      </c>
      <c r="X39" s="49"/>
      <c r="Y39" s="76">
        <v>44960.0</v>
      </c>
      <c r="Z39" s="77"/>
      <c r="AA39" s="77"/>
      <c r="AB39" s="80" t="b">
        <v>0</v>
      </c>
      <c r="AC39" s="81" t="b">
        <v>0</v>
      </c>
    </row>
    <row r="40">
      <c r="A40" s="26" t="s">
        <v>71</v>
      </c>
      <c r="B40" s="30"/>
      <c r="C40" s="31"/>
      <c r="D40" s="31"/>
      <c r="E40" s="23">
        <f t="shared" si="1"/>
        <v>0</v>
      </c>
      <c r="F40" s="30"/>
      <c r="G40" s="31"/>
      <c r="H40" s="31"/>
      <c r="I40" s="23">
        <f t="shared" si="2"/>
        <v>0</v>
      </c>
      <c r="J40" s="30"/>
      <c r="K40" s="31"/>
      <c r="L40" s="31"/>
      <c r="M40" s="23">
        <f t="shared" si="3"/>
        <v>0</v>
      </c>
      <c r="N40" s="30"/>
      <c r="O40" s="31"/>
      <c r="P40" s="31"/>
      <c r="Q40" s="23">
        <f t="shared" si="4"/>
        <v>0</v>
      </c>
      <c r="R40" s="30"/>
      <c r="S40" s="31"/>
      <c r="T40" s="31"/>
      <c r="U40" s="23">
        <f t="shared" si="5"/>
        <v>0</v>
      </c>
      <c r="V40" s="24">
        <f t="shared" si="6"/>
        <v>0</v>
      </c>
      <c r="W40" s="25" t="s">
        <v>8</v>
      </c>
      <c r="X40" s="49"/>
      <c r="Y40" s="76">
        <v>44989.0</v>
      </c>
      <c r="Z40" s="77"/>
      <c r="AA40" s="77"/>
      <c r="AB40" s="80" t="b">
        <v>0</v>
      </c>
      <c r="AC40" s="81" t="b">
        <v>0</v>
      </c>
    </row>
    <row r="41">
      <c r="A41" s="26" t="s">
        <v>72</v>
      </c>
      <c r="B41" s="30"/>
      <c r="C41" s="31"/>
      <c r="D41" s="64">
        <v>1.0</v>
      </c>
      <c r="E41" s="23">
        <f t="shared" si="1"/>
        <v>1</v>
      </c>
      <c r="F41" s="30"/>
      <c r="G41" s="31"/>
      <c r="H41" s="31"/>
      <c r="I41" s="23">
        <f t="shared" si="2"/>
        <v>0</v>
      </c>
      <c r="J41" s="30"/>
      <c r="K41" s="31"/>
      <c r="L41" s="31"/>
      <c r="M41" s="23">
        <f t="shared" si="3"/>
        <v>0</v>
      </c>
      <c r="N41" s="30"/>
      <c r="O41" s="31"/>
      <c r="P41" s="31"/>
      <c r="Q41" s="23">
        <f t="shared" si="4"/>
        <v>0</v>
      </c>
      <c r="R41" s="30"/>
      <c r="S41" s="31"/>
      <c r="T41" s="31"/>
      <c r="U41" s="23">
        <f t="shared" si="5"/>
        <v>0</v>
      </c>
      <c r="V41" s="24">
        <f t="shared" si="6"/>
        <v>1</v>
      </c>
      <c r="W41" s="25" t="s">
        <v>8</v>
      </c>
      <c r="X41" s="49"/>
      <c r="Y41" s="82"/>
      <c r="Z41" s="82"/>
      <c r="AA41" s="82"/>
      <c r="AB41" s="82"/>
      <c r="AC41" s="82"/>
    </row>
    <row r="42">
      <c r="A42" s="26" t="s">
        <v>73</v>
      </c>
      <c r="B42" s="30"/>
      <c r="C42" s="31"/>
      <c r="D42" s="31"/>
      <c r="E42" s="23">
        <f t="shared" si="1"/>
        <v>0</v>
      </c>
      <c r="F42" s="30"/>
      <c r="G42" s="31"/>
      <c r="H42" s="31"/>
      <c r="I42" s="23">
        <f t="shared" si="2"/>
        <v>0</v>
      </c>
      <c r="J42" s="30"/>
      <c r="K42" s="31"/>
      <c r="L42" s="31"/>
      <c r="M42" s="23">
        <f t="shared" si="3"/>
        <v>0</v>
      </c>
      <c r="N42" s="30"/>
      <c r="O42" s="31"/>
      <c r="P42" s="31"/>
      <c r="Q42" s="23">
        <f t="shared" si="4"/>
        <v>0</v>
      </c>
      <c r="R42" s="30"/>
      <c r="S42" s="31"/>
      <c r="T42" s="31"/>
      <c r="U42" s="23">
        <f t="shared" si="5"/>
        <v>0</v>
      </c>
      <c r="V42" s="24">
        <f t="shared" si="6"/>
        <v>0</v>
      </c>
      <c r="W42" s="25" t="s">
        <v>22</v>
      </c>
      <c r="X42" s="25"/>
      <c r="Y42" s="83" t="s">
        <v>74</v>
      </c>
      <c r="Z42" s="84"/>
      <c r="AA42" s="84"/>
      <c r="AB42" s="84"/>
      <c r="AC42" s="85"/>
    </row>
    <row r="43">
      <c r="A43" s="26" t="s">
        <v>75</v>
      </c>
      <c r="B43" s="30"/>
      <c r="C43" s="31"/>
      <c r="D43" s="31"/>
      <c r="E43" s="23">
        <f t="shared" si="1"/>
        <v>0</v>
      </c>
      <c r="F43" s="30"/>
      <c r="G43" s="31"/>
      <c r="H43" s="31"/>
      <c r="I43" s="23">
        <f t="shared" si="2"/>
        <v>0</v>
      </c>
      <c r="J43" s="30"/>
      <c r="K43" s="31"/>
      <c r="L43" s="31"/>
      <c r="M43" s="23">
        <f t="shared" si="3"/>
        <v>0</v>
      </c>
      <c r="N43" s="30"/>
      <c r="O43" s="31"/>
      <c r="P43" s="31"/>
      <c r="Q43" s="23">
        <f t="shared" si="4"/>
        <v>0</v>
      </c>
      <c r="R43" s="30"/>
      <c r="S43" s="31"/>
      <c r="T43" s="31"/>
      <c r="U43" s="23">
        <f t="shared" si="5"/>
        <v>0</v>
      </c>
      <c r="V43" s="24">
        <f t="shared" si="6"/>
        <v>0</v>
      </c>
      <c r="W43" s="25" t="s">
        <v>25</v>
      </c>
      <c r="X43" s="49"/>
      <c r="Y43" s="74" t="s">
        <v>49</v>
      </c>
      <c r="Z43" s="75" t="s">
        <v>50</v>
      </c>
      <c r="AA43" s="75" t="s">
        <v>64</v>
      </c>
      <c r="AB43" s="75" t="s">
        <v>2</v>
      </c>
      <c r="AC43" s="75" t="s">
        <v>41</v>
      </c>
    </row>
    <row r="44">
      <c r="A44" s="26" t="s">
        <v>76</v>
      </c>
      <c r="B44" s="30"/>
      <c r="C44" s="31"/>
      <c r="D44" s="31"/>
      <c r="E44" s="23">
        <f t="shared" si="1"/>
        <v>0</v>
      </c>
      <c r="F44" s="30"/>
      <c r="G44" s="31"/>
      <c r="H44" s="31"/>
      <c r="I44" s="23">
        <f t="shared" si="2"/>
        <v>0</v>
      </c>
      <c r="J44" s="30"/>
      <c r="K44" s="31"/>
      <c r="L44" s="31"/>
      <c r="M44" s="23">
        <f t="shared" si="3"/>
        <v>0</v>
      </c>
      <c r="N44" s="30"/>
      <c r="O44" s="31"/>
      <c r="P44" s="31"/>
      <c r="Q44" s="23">
        <f t="shared" si="4"/>
        <v>0</v>
      </c>
      <c r="R44" s="30"/>
      <c r="S44" s="31"/>
      <c r="T44" s="31"/>
      <c r="U44" s="23">
        <f t="shared" si="5"/>
        <v>0</v>
      </c>
      <c r="V44" s="24">
        <f t="shared" si="6"/>
        <v>0</v>
      </c>
      <c r="W44" s="25" t="s">
        <v>22</v>
      </c>
      <c r="X44" s="49"/>
      <c r="Y44" s="76">
        <v>45179.0</v>
      </c>
      <c r="Z44" s="77"/>
      <c r="AA44" s="77"/>
      <c r="AB44" s="78" t="b">
        <v>0</v>
      </c>
      <c r="AC44" s="79" t="b">
        <v>0</v>
      </c>
    </row>
    <row r="45">
      <c r="A45" s="26" t="s">
        <v>77</v>
      </c>
      <c r="B45" s="30"/>
      <c r="C45" s="31"/>
      <c r="D45" s="31"/>
      <c r="E45" s="23">
        <f t="shared" si="1"/>
        <v>0</v>
      </c>
      <c r="F45" s="30"/>
      <c r="G45" s="31"/>
      <c r="H45" s="31"/>
      <c r="I45" s="23">
        <f t="shared" si="2"/>
        <v>0</v>
      </c>
      <c r="J45" s="30"/>
      <c r="K45" s="31"/>
      <c r="L45" s="31"/>
      <c r="M45" s="23">
        <f t="shared" si="3"/>
        <v>0</v>
      </c>
      <c r="N45" s="30"/>
      <c r="O45" s="31"/>
      <c r="P45" s="31"/>
      <c r="Q45" s="23">
        <f t="shared" si="4"/>
        <v>0</v>
      </c>
      <c r="R45" s="30"/>
      <c r="S45" s="31"/>
      <c r="T45" s="31"/>
      <c r="U45" s="23">
        <f t="shared" si="5"/>
        <v>0</v>
      </c>
      <c r="V45" s="24">
        <f t="shared" si="6"/>
        <v>0</v>
      </c>
      <c r="W45" s="25" t="s">
        <v>22</v>
      </c>
      <c r="X45" s="49"/>
      <c r="Y45" s="76">
        <v>45210.0</v>
      </c>
      <c r="Z45" s="77"/>
      <c r="AA45" s="77"/>
      <c r="AB45" s="80" t="b">
        <v>0</v>
      </c>
      <c r="AC45" s="81" t="b">
        <v>0</v>
      </c>
    </row>
    <row r="46">
      <c r="A46" s="26" t="s">
        <v>78</v>
      </c>
      <c r="B46" s="38">
        <v>1.0</v>
      </c>
      <c r="C46" s="31"/>
      <c r="D46" s="64">
        <v>1.0</v>
      </c>
      <c r="E46" s="23">
        <f t="shared" si="1"/>
        <v>2</v>
      </c>
      <c r="F46" s="30"/>
      <c r="G46" s="31"/>
      <c r="H46" s="31"/>
      <c r="I46" s="23">
        <f t="shared" si="2"/>
        <v>0</v>
      </c>
      <c r="J46" s="30"/>
      <c r="K46" s="31"/>
      <c r="L46" s="31"/>
      <c r="M46" s="23">
        <f t="shared" si="3"/>
        <v>0</v>
      </c>
      <c r="N46" s="30"/>
      <c r="O46" s="31"/>
      <c r="P46" s="31"/>
      <c r="Q46" s="23">
        <f t="shared" si="4"/>
        <v>0</v>
      </c>
      <c r="R46" s="30"/>
      <c r="S46" s="31"/>
      <c r="T46" s="31"/>
      <c r="U46" s="23">
        <f t="shared" si="5"/>
        <v>0</v>
      </c>
      <c r="V46" s="24">
        <f t="shared" si="6"/>
        <v>2</v>
      </c>
      <c r="W46" s="25" t="s">
        <v>8</v>
      </c>
      <c r="X46" s="49"/>
      <c r="Y46" s="76">
        <v>45242.0</v>
      </c>
      <c r="Z46" s="77"/>
      <c r="AA46" s="77"/>
      <c r="AB46" s="80" t="b">
        <v>0</v>
      </c>
      <c r="AC46" s="81" t="b">
        <v>0</v>
      </c>
    </row>
    <row r="47">
      <c r="A47" s="26" t="s">
        <v>79</v>
      </c>
      <c r="B47" s="30"/>
      <c r="C47" s="31"/>
      <c r="D47" s="31"/>
      <c r="E47" s="23">
        <f t="shared" si="1"/>
        <v>0</v>
      </c>
      <c r="F47" s="30"/>
      <c r="G47" s="31"/>
      <c r="H47" s="31"/>
      <c r="I47" s="23">
        <f t="shared" si="2"/>
        <v>0</v>
      </c>
      <c r="J47" s="30"/>
      <c r="K47" s="31"/>
      <c r="L47" s="31"/>
      <c r="M47" s="23">
        <f t="shared" si="3"/>
        <v>0</v>
      </c>
      <c r="N47" s="30"/>
      <c r="O47" s="31"/>
      <c r="P47" s="64">
        <v>1.0</v>
      </c>
      <c r="Q47" s="23">
        <f t="shared" si="4"/>
        <v>1</v>
      </c>
      <c r="R47" s="30"/>
      <c r="S47" s="31"/>
      <c r="T47" s="31"/>
      <c r="U47" s="23">
        <f t="shared" si="5"/>
        <v>0</v>
      </c>
      <c r="V47" s="24">
        <f t="shared" si="6"/>
        <v>1</v>
      </c>
      <c r="W47" s="25" t="s">
        <v>25</v>
      </c>
      <c r="X47" s="49"/>
      <c r="Y47" s="76">
        <v>45261.0</v>
      </c>
      <c r="Z47" s="77"/>
      <c r="AA47" s="77"/>
      <c r="AB47" s="80" t="b">
        <v>0</v>
      </c>
      <c r="AC47" s="81" t="b">
        <v>0</v>
      </c>
    </row>
    <row r="48">
      <c r="A48" s="26" t="s">
        <v>80</v>
      </c>
      <c r="B48" s="30"/>
      <c r="C48" s="31"/>
      <c r="D48" s="31"/>
      <c r="E48" s="23">
        <f t="shared" si="1"/>
        <v>0</v>
      </c>
      <c r="F48" s="30"/>
      <c r="G48" s="31"/>
      <c r="H48" s="64">
        <v>1.0</v>
      </c>
      <c r="I48" s="23">
        <f t="shared" si="2"/>
        <v>1</v>
      </c>
      <c r="J48" s="30"/>
      <c r="K48" s="31"/>
      <c r="L48" s="31"/>
      <c r="M48" s="23">
        <f t="shared" si="3"/>
        <v>0</v>
      </c>
      <c r="N48" s="30"/>
      <c r="O48" s="31"/>
      <c r="P48" s="64"/>
      <c r="Q48" s="23">
        <f t="shared" si="4"/>
        <v>0</v>
      </c>
      <c r="R48" s="30"/>
      <c r="S48" s="31"/>
      <c r="T48" s="31"/>
      <c r="U48" s="23">
        <f t="shared" si="5"/>
        <v>0</v>
      </c>
      <c r="V48" s="24">
        <f t="shared" si="6"/>
        <v>1</v>
      </c>
      <c r="W48" s="25" t="s">
        <v>25</v>
      </c>
      <c r="X48" s="49"/>
      <c r="Y48" s="76">
        <v>44928.0</v>
      </c>
      <c r="Z48" s="77"/>
      <c r="AA48" s="77"/>
      <c r="AB48" s="80" t="b">
        <v>0</v>
      </c>
      <c r="AC48" s="81" t="b">
        <v>0</v>
      </c>
    </row>
    <row r="49">
      <c r="A49" s="26" t="s">
        <v>81</v>
      </c>
      <c r="B49" s="30"/>
      <c r="C49" s="31"/>
      <c r="D49" s="31"/>
      <c r="E49" s="23">
        <f t="shared" si="1"/>
        <v>0</v>
      </c>
      <c r="F49" s="30"/>
      <c r="G49" s="31"/>
      <c r="H49" s="31"/>
      <c r="I49" s="23">
        <f t="shared" si="2"/>
        <v>0</v>
      </c>
      <c r="J49" s="30"/>
      <c r="K49" s="31"/>
      <c r="L49" s="31"/>
      <c r="M49" s="23">
        <f t="shared" si="3"/>
        <v>0</v>
      </c>
      <c r="N49" s="30"/>
      <c r="O49" s="31"/>
      <c r="P49" s="31"/>
      <c r="Q49" s="23">
        <f t="shared" si="4"/>
        <v>0</v>
      </c>
      <c r="R49" s="30"/>
      <c r="S49" s="31"/>
      <c r="T49" s="31"/>
      <c r="U49" s="23">
        <f t="shared" si="5"/>
        <v>0</v>
      </c>
      <c r="V49" s="24">
        <f t="shared" si="6"/>
        <v>0</v>
      </c>
      <c r="W49" s="25" t="s">
        <v>8</v>
      </c>
      <c r="X49" s="49"/>
      <c r="Y49" s="76">
        <v>44960.0</v>
      </c>
      <c r="Z49" s="77"/>
      <c r="AA49" s="77"/>
      <c r="AB49" s="80" t="b">
        <v>0</v>
      </c>
      <c r="AC49" s="81" t="b">
        <v>0</v>
      </c>
    </row>
    <row r="50">
      <c r="A50" s="26" t="s">
        <v>82</v>
      </c>
      <c r="B50" s="30"/>
      <c r="C50" s="31"/>
      <c r="D50" s="31"/>
      <c r="E50" s="23">
        <f t="shared" si="1"/>
        <v>0</v>
      </c>
      <c r="F50" s="30"/>
      <c r="G50" s="31"/>
      <c r="H50" s="31"/>
      <c r="I50" s="23">
        <f t="shared" si="2"/>
        <v>0</v>
      </c>
      <c r="J50" s="30"/>
      <c r="K50" s="31"/>
      <c r="L50" s="31"/>
      <c r="M50" s="23">
        <f t="shared" si="3"/>
        <v>0</v>
      </c>
      <c r="N50" s="30"/>
      <c r="O50" s="31"/>
      <c r="P50" s="31"/>
      <c r="Q50" s="23">
        <f t="shared" si="4"/>
        <v>0</v>
      </c>
      <c r="R50" s="30"/>
      <c r="S50" s="31"/>
      <c r="T50" s="31"/>
      <c r="U50" s="23">
        <f t="shared" si="5"/>
        <v>0</v>
      </c>
      <c r="V50" s="24">
        <f t="shared" si="6"/>
        <v>0</v>
      </c>
      <c r="W50" s="25" t="s">
        <v>8</v>
      </c>
      <c r="X50" s="49"/>
      <c r="Y50" s="76">
        <v>44989.0</v>
      </c>
      <c r="Z50" s="77"/>
      <c r="AA50" s="77"/>
      <c r="AB50" s="80" t="b">
        <v>0</v>
      </c>
      <c r="AC50" s="81" t="b">
        <v>0</v>
      </c>
    </row>
    <row r="51">
      <c r="A51" s="26" t="s">
        <v>83</v>
      </c>
      <c r="B51" s="30"/>
      <c r="C51" s="31"/>
      <c r="D51" s="31"/>
      <c r="E51" s="23">
        <f t="shared" si="1"/>
        <v>0</v>
      </c>
      <c r="F51" s="30"/>
      <c r="G51" s="31"/>
      <c r="H51" s="31"/>
      <c r="I51" s="23">
        <f t="shared" si="2"/>
        <v>0</v>
      </c>
      <c r="J51" s="30"/>
      <c r="K51" s="31"/>
      <c r="L51" s="31"/>
      <c r="M51" s="23">
        <f t="shared" si="3"/>
        <v>0</v>
      </c>
      <c r="N51" s="30"/>
      <c r="O51" s="31"/>
      <c r="P51" s="31"/>
      <c r="Q51" s="23">
        <f t="shared" si="4"/>
        <v>0</v>
      </c>
      <c r="R51" s="30"/>
      <c r="S51" s="31"/>
      <c r="T51" s="31"/>
      <c r="U51" s="23">
        <f t="shared" si="5"/>
        <v>0</v>
      </c>
      <c r="V51" s="24">
        <f t="shared" si="6"/>
        <v>0</v>
      </c>
      <c r="W51" s="25" t="s">
        <v>8</v>
      </c>
      <c r="X51" s="49"/>
      <c r="Y51" s="82"/>
      <c r="Z51" s="82"/>
      <c r="AA51" s="82"/>
      <c r="AB51" s="82"/>
      <c r="AC51" s="82"/>
    </row>
    <row r="52">
      <c r="A52" s="26" t="s">
        <v>84</v>
      </c>
      <c r="B52" s="38">
        <v>1.0</v>
      </c>
      <c r="C52" s="31"/>
      <c r="D52" s="31"/>
      <c r="E52" s="23">
        <f t="shared" si="1"/>
        <v>1</v>
      </c>
      <c r="F52" s="30"/>
      <c r="G52" s="31"/>
      <c r="H52" s="31"/>
      <c r="I52" s="23">
        <f t="shared" si="2"/>
        <v>0</v>
      </c>
      <c r="J52" s="30"/>
      <c r="K52" s="31"/>
      <c r="L52" s="31"/>
      <c r="M52" s="23">
        <f t="shared" si="3"/>
        <v>0</v>
      </c>
      <c r="N52" s="30"/>
      <c r="O52" s="31"/>
      <c r="P52" s="31"/>
      <c r="Q52" s="23">
        <f t="shared" si="4"/>
        <v>0</v>
      </c>
      <c r="R52" s="30"/>
      <c r="S52" s="31"/>
      <c r="T52" s="31"/>
      <c r="U52" s="23">
        <f t="shared" si="5"/>
        <v>0</v>
      </c>
      <c r="V52" s="24">
        <f t="shared" si="6"/>
        <v>1</v>
      </c>
      <c r="W52" s="25" t="s">
        <v>8</v>
      </c>
      <c r="X52" s="49"/>
      <c r="Y52" s="83" t="s">
        <v>85</v>
      </c>
      <c r="Z52" s="84"/>
      <c r="AA52" s="84"/>
      <c r="AB52" s="84"/>
      <c r="AC52" s="85"/>
    </row>
    <row r="53">
      <c r="A53" s="26" t="s">
        <v>86</v>
      </c>
      <c r="B53" s="30"/>
      <c r="C53" s="31"/>
      <c r="D53" s="31"/>
      <c r="E53" s="23">
        <f t="shared" si="1"/>
        <v>0</v>
      </c>
      <c r="F53" s="30"/>
      <c r="G53" s="31"/>
      <c r="H53" s="31"/>
      <c r="I53" s="23">
        <f t="shared" si="2"/>
        <v>0</v>
      </c>
      <c r="J53" s="30"/>
      <c r="K53" s="31"/>
      <c r="L53" s="31"/>
      <c r="M53" s="23">
        <f t="shared" si="3"/>
        <v>0</v>
      </c>
      <c r="N53" s="30"/>
      <c r="O53" s="31"/>
      <c r="P53" s="31"/>
      <c r="Q53" s="23">
        <f t="shared" si="4"/>
        <v>0</v>
      </c>
      <c r="R53" s="30"/>
      <c r="S53" s="31"/>
      <c r="T53" s="31"/>
      <c r="U53" s="23">
        <f t="shared" si="5"/>
        <v>0</v>
      </c>
      <c r="V53" s="24">
        <f t="shared" si="6"/>
        <v>0</v>
      </c>
      <c r="W53" s="25" t="s">
        <v>25</v>
      </c>
      <c r="X53" s="49"/>
      <c r="Y53" s="74" t="s">
        <v>49</v>
      </c>
      <c r="Z53" s="75" t="s">
        <v>50</v>
      </c>
      <c r="AA53" s="75" t="s">
        <v>64</v>
      </c>
      <c r="AB53" s="75" t="s">
        <v>2</v>
      </c>
      <c r="AC53" s="75" t="s">
        <v>41</v>
      </c>
    </row>
    <row r="54">
      <c r="A54" s="26" t="s">
        <v>87</v>
      </c>
      <c r="B54" s="30"/>
      <c r="C54" s="31"/>
      <c r="D54" s="31"/>
      <c r="E54" s="23">
        <f t="shared" si="1"/>
        <v>0</v>
      </c>
      <c r="F54" s="30"/>
      <c r="G54" s="31"/>
      <c r="H54" s="31"/>
      <c r="I54" s="23">
        <f t="shared" si="2"/>
        <v>0</v>
      </c>
      <c r="J54" s="30"/>
      <c r="K54" s="31"/>
      <c r="L54" s="31"/>
      <c r="M54" s="23">
        <f t="shared" si="3"/>
        <v>0</v>
      </c>
      <c r="N54" s="30"/>
      <c r="O54" s="31"/>
      <c r="P54" s="31"/>
      <c r="Q54" s="23">
        <f t="shared" si="4"/>
        <v>0</v>
      </c>
      <c r="R54" s="30"/>
      <c r="S54" s="31"/>
      <c r="T54" s="31"/>
      <c r="U54" s="23">
        <f t="shared" si="5"/>
        <v>0</v>
      </c>
      <c r="V54" s="24">
        <f t="shared" si="6"/>
        <v>0</v>
      </c>
      <c r="W54" s="25" t="s">
        <v>22</v>
      </c>
      <c r="X54" s="49"/>
      <c r="Y54" s="76">
        <v>45179.0</v>
      </c>
      <c r="Z54" s="77"/>
      <c r="AA54" s="77"/>
      <c r="AB54" s="78" t="b">
        <v>0</v>
      </c>
      <c r="AC54" s="79" t="b">
        <v>0</v>
      </c>
    </row>
    <row r="55">
      <c r="A55" s="26" t="s">
        <v>88</v>
      </c>
      <c r="B55" s="30"/>
      <c r="C55" s="31"/>
      <c r="D55" s="31"/>
      <c r="E55" s="23">
        <f t="shared" si="1"/>
        <v>0</v>
      </c>
      <c r="F55" s="30"/>
      <c r="G55" s="31"/>
      <c r="H55" s="31"/>
      <c r="I55" s="23">
        <f t="shared" si="2"/>
        <v>0</v>
      </c>
      <c r="J55" s="30"/>
      <c r="K55" s="31"/>
      <c r="L55" s="31"/>
      <c r="M55" s="23">
        <f t="shared" si="3"/>
        <v>0</v>
      </c>
      <c r="N55" s="30"/>
      <c r="O55" s="31"/>
      <c r="P55" s="31"/>
      <c r="Q55" s="23">
        <f t="shared" si="4"/>
        <v>0</v>
      </c>
      <c r="R55" s="30"/>
      <c r="S55" s="31"/>
      <c r="T55" s="31"/>
      <c r="U55" s="23">
        <f t="shared" si="5"/>
        <v>0</v>
      </c>
      <c r="V55" s="24">
        <f t="shared" si="6"/>
        <v>0</v>
      </c>
      <c r="W55" s="25" t="s">
        <v>25</v>
      </c>
      <c r="X55" s="49"/>
      <c r="Y55" s="76">
        <v>45210.0</v>
      </c>
      <c r="Z55" s="77"/>
      <c r="AA55" s="77"/>
      <c r="AB55" s="80" t="b">
        <v>0</v>
      </c>
      <c r="AC55" s="81" t="b">
        <v>0</v>
      </c>
    </row>
    <row r="56">
      <c r="A56" s="26" t="s">
        <v>89</v>
      </c>
      <c r="B56" s="30"/>
      <c r="C56" s="31"/>
      <c r="D56" s="64">
        <v>1.0</v>
      </c>
      <c r="E56" s="23">
        <f t="shared" si="1"/>
        <v>1</v>
      </c>
      <c r="F56" s="30"/>
      <c r="G56" s="31"/>
      <c r="H56" s="31"/>
      <c r="I56" s="23">
        <f t="shared" si="2"/>
        <v>0</v>
      </c>
      <c r="J56" s="30"/>
      <c r="K56" s="31"/>
      <c r="L56" s="31"/>
      <c r="M56" s="23">
        <f t="shared" si="3"/>
        <v>0</v>
      </c>
      <c r="N56" s="30"/>
      <c r="O56" s="31"/>
      <c r="P56" s="31"/>
      <c r="Q56" s="23">
        <f t="shared" si="4"/>
        <v>0</v>
      </c>
      <c r="R56" s="30"/>
      <c r="S56" s="31"/>
      <c r="T56" s="31"/>
      <c r="U56" s="23">
        <f t="shared" si="5"/>
        <v>0</v>
      </c>
      <c r="V56" s="24">
        <f t="shared" si="6"/>
        <v>1</v>
      </c>
      <c r="W56" s="25" t="s">
        <v>20</v>
      </c>
      <c r="X56" s="49"/>
      <c r="Y56" s="76">
        <v>45242.0</v>
      </c>
      <c r="Z56" s="77"/>
      <c r="AA56" s="77"/>
      <c r="AB56" s="80" t="b">
        <v>0</v>
      </c>
      <c r="AC56" s="81" t="b">
        <v>0</v>
      </c>
    </row>
    <row r="57">
      <c r="A57" s="26" t="s">
        <v>90</v>
      </c>
      <c r="B57" s="30"/>
      <c r="C57" s="31"/>
      <c r="D57" s="31"/>
      <c r="E57" s="23">
        <f t="shared" si="1"/>
        <v>0</v>
      </c>
      <c r="F57" s="30"/>
      <c r="G57" s="31"/>
      <c r="H57" s="31"/>
      <c r="I57" s="23">
        <f t="shared" si="2"/>
        <v>0</v>
      </c>
      <c r="J57" s="30"/>
      <c r="K57" s="31"/>
      <c r="L57" s="64">
        <v>1.0</v>
      </c>
      <c r="M57" s="23">
        <f t="shared" si="3"/>
        <v>1</v>
      </c>
      <c r="N57" s="30"/>
      <c r="O57" s="31"/>
      <c r="P57" s="31"/>
      <c r="Q57" s="23">
        <f t="shared" si="4"/>
        <v>0</v>
      </c>
      <c r="R57" s="30"/>
      <c r="S57" s="31"/>
      <c r="T57" s="31"/>
      <c r="U57" s="23">
        <f t="shared" si="5"/>
        <v>0</v>
      </c>
      <c r="V57" s="24">
        <f t="shared" si="6"/>
        <v>1</v>
      </c>
      <c r="W57" s="25" t="s">
        <v>25</v>
      </c>
      <c r="X57" s="49"/>
      <c r="Y57" s="76">
        <v>45261.0</v>
      </c>
      <c r="Z57" s="77"/>
      <c r="AA57" s="77"/>
      <c r="AB57" s="80" t="b">
        <v>0</v>
      </c>
      <c r="AC57" s="81" t="b">
        <v>0</v>
      </c>
    </row>
    <row r="58">
      <c r="A58" s="26" t="s">
        <v>25</v>
      </c>
      <c r="B58" s="30"/>
      <c r="C58" s="31"/>
      <c r="D58" s="31"/>
      <c r="E58" s="23">
        <f t="shared" si="1"/>
        <v>0</v>
      </c>
      <c r="F58" s="30"/>
      <c r="G58" s="31"/>
      <c r="H58" s="31"/>
      <c r="I58" s="23">
        <f t="shared" si="2"/>
        <v>0</v>
      </c>
      <c r="J58" s="30"/>
      <c r="K58" s="31"/>
      <c r="L58" s="31"/>
      <c r="M58" s="23">
        <f t="shared" si="3"/>
        <v>0</v>
      </c>
      <c r="N58" s="30"/>
      <c r="O58" s="31"/>
      <c r="P58" s="31"/>
      <c r="Q58" s="23">
        <f t="shared" si="4"/>
        <v>0</v>
      </c>
      <c r="R58" s="30"/>
      <c r="S58" s="31"/>
      <c r="T58" s="64">
        <v>1.0</v>
      </c>
      <c r="U58" s="23">
        <f t="shared" si="5"/>
        <v>1</v>
      </c>
      <c r="V58" s="24">
        <f t="shared" si="6"/>
        <v>1</v>
      </c>
      <c r="W58" s="25" t="s">
        <v>8</v>
      </c>
      <c r="X58" s="49"/>
      <c r="Y58" s="76">
        <v>44928.0</v>
      </c>
      <c r="Z58" s="77"/>
      <c r="AA58" s="77"/>
      <c r="AB58" s="80" t="b">
        <v>0</v>
      </c>
      <c r="AC58" s="81" t="b">
        <v>0</v>
      </c>
    </row>
    <row r="59">
      <c r="A59" s="26" t="s">
        <v>91</v>
      </c>
      <c r="B59" s="30"/>
      <c r="C59" s="31"/>
      <c r="D59" s="31"/>
      <c r="E59" s="23">
        <f t="shared" si="1"/>
        <v>0</v>
      </c>
      <c r="F59" s="30"/>
      <c r="G59" s="31"/>
      <c r="H59" s="31"/>
      <c r="I59" s="23">
        <f t="shared" si="2"/>
        <v>0</v>
      </c>
      <c r="J59" s="30"/>
      <c r="K59" s="31"/>
      <c r="L59" s="31"/>
      <c r="M59" s="23">
        <f t="shared" si="3"/>
        <v>0</v>
      </c>
      <c r="N59" s="30"/>
      <c r="O59" s="31"/>
      <c r="P59" s="31"/>
      <c r="Q59" s="23">
        <f t="shared" si="4"/>
        <v>0</v>
      </c>
      <c r="R59" s="30"/>
      <c r="S59" s="31"/>
      <c r="T59" s="31"/>
      <c r="U59" s="23">
        <f t="shared" si="5"/>
        <v>0</v>
      </c>
      <c r="V59" s="24">
        <f t="shared" si="6"/>
        <v>0</v>
      </c>
      <c r="W59" s="25" t="s">
        <v>25</v>
      </c>
      <c r="X59" s="49"/>
      <c r="Y59" s="76">
        <v>44960.0</v>
      </c>
      <c r="Z59" s="77"/>
      <c r="AA59" s="77"/>
      <c r="AB59" s="80" t="b">
        <v>0</v>
      </c>
      <c r="AC59" s="81" t="b">
        <v>0</v>
      </c>
    </row>
    <row r="60">
      <c r="A60" s="86" t="s">
        <v>92</v>
      </c>
      <c r="B60" s="38">
        <v>1.0</v>
      </c>
      <c r="C60" s="31"/>
      <c r="D60" s="64">
        <v>1.0</v>
      </c>
      <c r="E60" s="23">
        <f t="shared" si="1"/>
        <v>2</v>
      </c>
      <c r="F60" s="38">
        <v>1.0</v>
      </c>
      <c r="G60" s="31"/>
      <c r="H60" s="31"/>
      <c r="I60" s="23">
        <f t="shared" si="2"/>
        <v>1</v>
      </c>
      <c r="J60" s="38">
        <v>1.0</v>
      </c>
      <c r="K60" s="31"/>
      <c r="L60" s="31"/>
      <c r="M60" s="23">
        <f t="shared" si="3"/>
        <v>1</v>
      </c>
      <c r="N60" s="30"/>
      <c r="O60" s="31"/>
      <c r="P60" s="31"/>
      <c r="Q60" s="23">
        <f t="shared" si="4"/>
        <v>0</v>
      </c>
      <c r="R60" s="30"/>
      <c r="S60" s="31"/>
      <c r="T60" s="31"/>
      <c r="U60" s="23">
        <f t="shared" si="5"/>
        <v>0</v>
      </c>
      <c r="V60" s="24">
        <f t="shared" si="6"/>
        <v>4</v>
      </c>
      <c r="W60" s="25" t="s">
        <v>8</v>
      </c>
      <c r="X60" s="49"/>
      <c r="Y60" s="76">
        <v>44989.0</v>
      </c>
      <c r="Z60" s="77"/>
      <c r="AA60" s="77"/>
      <c r="AB60" s="80" t="b">
        <v>0</v>
      </c>
      <c r="AC60" s="81" t="b">
        <v>0</v>
      </c>
    </row>
    <row r="61">
      <c r="A61" s="26" t="s">
        <v>93</v>
      </c>
      <c r="B61" s="30"/>
      <c r="C61" s="31"/>
      <c r="D61" s="31"/>
      <c r="E61" s="23">
        <f t="shared" si="1"/>
        <v>0</v>
      </c>
      <c r="F61" s="30"/>
      <c r="G61" s="31"/>
      <c r="H61" s="31"/>
      <c r="I61" s="23">
        <f t="shared" si="2"/>
        <v>0</v>
      </c>
      <c r="J61" s="30"/>
      <c r="K61" s="31"/>
      <c r="L61" s="31"/>
      <c r="M61" s="23">
        <f t="shared" si="3"/>
        <v>0</v>
      </c>
      <c r="N61" s="30"/>
      <c r="O61" s="31"/>
      <c r="P61" s="31"/>
      <c r="Q61" s="23">
        <f t="shared" si="4"/>
        <v>0</v>
      </c>
      <c r="R61" s="30"/>
      <c r="S61" s="31"/>
      <c r="T61" s="31"/>
      <c r="U61" s="23">
        <f t="shared" si="5"/>
        <v>0</v>
      </c>
      <c r="V61" s="24">
        <f t="shared" si="6"/>
        <v>0</v>
      </c>
      <c r="W61" s="25" t="s">
        <v>8</v>
      </c>
      <c r="X61" s="49"/>
      <c r="Y61" s="82"/>
      <c r="Z61" s="82"/>
      <c r="AA61" s="82"/>
      <c r="AB61" s="82"/>
      <c r="AC61" s="82"/>
    </row>
    <row r="62">
      <c r="A62" s="70" t="s">
        <v>94</v>
      </c>
      <c r="B62" s="30"/>
      <c r="C62" s="31"/>
      <c r="D62" s="31"/>
      <c r="E62" s="23">
        <f t="shared" si="1"/>
        <v>0</v>
      </c>
      <c r="F62" s="30"/>
      <c r="G62" s="31"/>
      <c r="H62" s="31"/>
      <c r="I62" s="23">
        <f t="shared" si="2"/>
        <v>0</v>
      </c>
      <c r="J62" s="30"/>
      <c r="K62" s="31"/>
      <c r="L62" s="31"/>
      <c r="M62" s="23">
        <f t="shared" si="3"/>
        <v>0</v>
      </c>
      <c r="N62" s="30"/>
      <c r="O62" s="31"/>
      <c r="P62" s="31"/>
      <c r="Q62" s="23">
        <f t="shared" si="4"/>
        <v>0</v>
      </c>
      <c r="R62" s="30"/>
      <c r="S62" s="31"/>
      <c r="T62" s="31"/>
      <c r="U62" s="23">
        <f t="shared" si="5"/>
        <v>0</v>
      </c>
      <c r="V62" s="24">
        <f t="shared" si="6"/>
        <v>0</v>
      </c>
      <c r="W62" s="25" t="s">
        <v>8</v>
      </c>
      <c r="X62" s="49"/>
      <c r="Y62" s="83" t="s">
        <v>95</v>
      </c>
      <c r="Z62" s="84"/>
      <c r="AA62" s="84"/>
      <c r="AB62" s="84"/>
      <c r="AC62" s="85"/>
    </row>
    <row r="63">
      <c r="A63" s="26" t="s">
        <v>96</v>
      </c>
      <c r="B63" s="30"/>
      <c r="C63" s="31"/>
      <c r="D63" s="31"/>
      <c r="E63" s="23">
        <f t="shared" si="1"/>
        <v>0</v>
      </c>
      <c r="F63" s="30"/>
      <c r="G63" s="31"/>
      <c r="H63" s="31"/>
      <c r="I63" s="23">
        <f t="shared" si="2"/>
        <v>0</v>
      </c>
      <c r="J63" s="30"/>
      <c r="K63" s="31"/>
      <c r="L63" s="31"/>
      <c r="M63" s="23">
        <f t="shared" si="3"/>
        <v>0</v>
      </c>
      <c r="N63" s="30"/>
      <c r="O63" s="31"/>
      <c r="P63" s="31"/>
      <c r="Q63" s="23">
        <f t="shared" si="4"/>
        <v>0</v>
      </c>
      <c r="R63" s="30"/>
      <c r="S63" s="31"/>
      <c r="T63" s="31"/>
      <c r="U63" s="23">
        <f t="shared" si="5"/>
        <v>0</v>
      </c>
      <c r="V63" s="24">
        <f t="shared" si="6"/>
        <v>0</v>
      </c>
      <c r="W63" s="25" t="s">
        <v>8</v>
      </c>
      <c r="X63" s="49"/>
      <c r="Y63" s="74" t="s">
        <v>49</v>
      </c>
      <c r="Z63" s="87" t="s">
        <v>50</v>
      </c>
      <c r="AA63" s="87" t="s">
        <v>51</v>
      </c>
      <c r="AB63" s="87" t="s">
        <v>2</v>
      </c>
      <c r="AC63" s="87" t="s">
        <v>41</v>
      </c>
    </row>
    <row r="64">
      <c r="A64" s="88" t="s">
        <v>97</v>
      </c>
      <c r="B64" s="30"/>
      <c r="C64" s="31"/>
      <c r="D64" s="31"/>
      <c r="E64" s="23">
        <f t="shared" si="1"/>
        <v>0</v>
      </c>
      <c r="F64" s="30"/>
      <c r="G64" s="31"/>
      <c r="H64" s="31"/>
      <c r="I64" s="23">
        <f t="shared" si="2"/>
        <v>0</v>
      </c>
      <c r="J64" s="30"/>
      <c r="K64" s="31"/>
      <c r="L64" s="31"/>
      <c r="M64" s="23">
        <f t="shared" si="3"/>
        <v>0</v>
      </c>
      <c r="N64" s="30"/>
      <c r="O64" s="31"/>
      <c r="P64" s="31"/>
      <c r="Q64" s="23">
        <f t="shared" si="4"/>
        <v>0</v>
      </c>
      <c r="R64" s="30"/>
      <c r="S64" s="31"/>
      <c r="T64" s="31"/>
      <c r="U64" s="23">
        <f t="shared" si="5"/>
        <v>0</v>
      </c>
      <c r="V64" s="24">
        <f t="shared" si="6"/>
        <v>0</v>
      </c>
      <c r="W64" s="25" t="s">
        <v>8</v>
      </c>
      <c r="X64" s="49"/>
      <c r="Y64" s="89">
        <v>45179.0</v>
      </c>
      <c r="Z64" s="90"/>
      <c r="AA64" s="90"/>
      <c r="AB64" s="78" t="b">
        <v>0</v>
      </c>
      <c r="AC64" s="79" t="b">
        <v>0</v>
      </c>
    </row>
    <row r="65">
      <c r="A65" s="26" t="s">
        <v>98</v>
      </c>
      <c r="B65" s="30"/>
      <c r="C65" s="31"/>
      <c r="D65" s="31"/>
      <c r="E65" s="23">
        <f t="shared" si="1"/>
        <v>0</v>
      </c>
      <c r="F65" s="30"/>
      <c r="G65" s="31"/>
      <c r="H65" s="31"/>
      <c r="I65" s="23">
        <f t="shared" si="2"/>
        <v>0</v>
      </c>
      <c r="J65" s="30"/>
      <c r="K65" s="31"/>
      <c r="L65" s="31"/>
      <c r="M65" s="23">
        <f t="shared" si="3"/>
        <v>0</v>
      </c>
      <c r="N65" s="30"/>
      <c r="O65" s="31"/>
      <c r="P65" s="31"/>
      <c r="Q65" s="23">
        <f t="shared" si="4"/>
        <v>0</v>
      </c>
      <c r="R65" s="30"/>
      <c r="S65" s="31"/>
      <c r="T65" s="31"/>
      <c r="U65" s="23">
        <f t="shared" si="5"/>
        <v>0</v>
      </c>
      <c r="V65" s="24">
        <f t="shared" si="6"/>
        <v>0</v>
      </c>
      <c r="W65" s="25" t="s">
        <v>22</v>
      </c>
      <c r="X65" s="49"/>
      <c r="Y65" s="89">
        <v>45210.0</v>
      </c>
      <c r="Z65" s="91"/>
      <c r="AA65" s="91"/>
      <c r="AB65" s="80" t="b">
        <v>0</v>
      </c>
      <c r="AC65" s="81" t="b">
        <v>0</v>
      </c>
    </row>
    <row r="66">
      <c r="A66" s="26" t="s">
        <v>99</v>
      </c>
      <c r="B66" s="30"/>
      <c r="C66" s="31"/>
      <c r="D66" s="31"/>
      <c r="E66" s="23">
        <f t="shared" si="1"/>
        <v>0</v>
      </c>
      <c r="F66" s="30"/>
      <c r="G66" s="31"/>
      <c r="H66" s="31"/>
      <c r="I66" s="23">
        <f t="shared" si="2"/>
        <v>0</v>
      </c>
      <c r="J66" s="30"/>
      <c r="K66" s="31"/>
      <c r="L66" s="31"/>
      <c r="M66" s="23">
        <f t="shared" si="3"/>
        <v>0</v>
      </c>
      <c r="N66" s="30"/>
      <c r="O66" s="31"/>
      <c r="P66" s="31"/>
      <c r="Q66" s="23">
        <f t="shared" si="4"/>
        <v>0</v>
      </c>
      <c r="R66" s="30"/>
      <c r="S66" s="31"/>
      <c r="T66" s="31"/>
      <c r="U66" s="23">
        <f t="shared" si="5"/>
        <v>0</v>
      </c>
      <c r="V66" s="24">
        <f t="shared" si="6"/>
        <v>0</v>
      </c>
      <c r="W66" s="25" t="s">
        <v>8</v>
      </c>
      <c r="X66" s="49"/>
      <c r="Y66" s="89">
        <v>45242.0</v>
      </c>
      <c r="Z66" s="91"/>
      <c r="AA66" s="91"/>
      <c r="AB66" s="80" t="b">
        <v>0</v>
      </c>
      <c r="AC66" s="81" t="b">
        <v>0</v>
      </c>
    </row>
    <row r="67">
      <c r="A67" s="26" t="s">
        <v>100</v>
      </c>
      <c r="B67" s="30"/>
      <c r="C67" s="31"/>
      <c r="D67" s="31"/>
      <c r="E67" s="23">
        <f t="shared" si="1"/>
        <v>0</v>
      </c>
      <c r="F67" s="30"/>
      <c r="G67" s="31"/>
      <c r="H67" s="31"/>
      <c r="I67" s="23">
        <f t="shared" si="2"/>
        <v>0</v>
      </c>
      <c r="J67" s="30"/>
      <c r="K67" s="31"/>
      <c r="L67" s="31"/>
      <c r="M67" s="23">
        <f t="shared" si="3"/>
        <v>0</v>
      </c>
      <c r="N67" s="30"/>
      <c r="O67" s="31"/>
      <c r="P67" s="31"/>
      <c r="Q67" s="23">
        <f t="shared" si="4"/>
        <v>0</v>
      </c>
      <c r="R67" s="30"/>
      <c r="S67" s="31"/>
      <c r="T67" s="31"/>
      <c r="U67" s="23">
        <f t="shared" si="5"/>
        <v>0</v>
      </c>
      <c r="V67" s="24">
        <f t="shared" si="6"/>
        <v>0</v>
      </c>
      <c r="W67" s="25" t="s">
        <v>22</v>
      </c>
      <c r="X67" s="25"/>
      <c r="Y67" s="89">
        <v>45261.0</v>
      </c>
      <c r="Z67" s="91"/>
      <c r="AA67" s="91"/>
      <c r="AB67" s="80" t="b">
        <v>0</v>
      </c>
      <c r="AC67" s="81" t="b">
        <v>0</v>
      </c>
    </row>
    <row r="68">
      <c r="A68" s="26" t="s">
        <v>101</v>
      </c>
      <c r="B68" s="30"/>
      <c r="C68" s="31"/>
      <c r="D68" s="31"/>
      <c r="E68" s="23">
        <f t="shared" si="1"/>
        <v>0</v>
      </c>
      <c r="F68" s="30"/>
      <c r="G68" s="31"/>
      <c r="H68" s="31"/>
      <c r="I68" s="23">
        <f t="shared" si="2"/>
        <v>0</v>
      </c>
      <c r="J68" s="30"/>
      <c r="K68" s="31"/>
      <c r="L68" s="31"/>
      <c r="M68" s="23">
        <f t="shared" si="3"/>
        <v>0</v>
      </c>
      <c r="N68" s="30"/>
      <c r="O68" s="31"/>
      <c r="P68" s="31"/>
      <c r="Q68" s="23">
        <f t="shared" si="4"/>
        <v>0</v>
      </c>
      <c r="R68" s="30"/>
      <c r="S68" s="31"/>
      <c r="T68" s="31"/>
      <c r="U68" s="23">
        <f t="shared" si="5"/>
        <v>0</v>
      </c>
      <c r="V68" s="24">
        <f t="shared" si="6"/>
        <v>0</v>
      </c>
      <c r="W68" s="25" t="s">
        <v>8</v>
      </c>
      <c r="X68" s="49"/>
      <c r="Y68" s="89">
        <v>44928.0</v>
      </c>
      <c r="Z68" s="91"/>
      <c r="AA68" s="91"/>
      <c r="AB68" s="80" t="b">
        <v>0</v>
      </c>
      <c r="AC68" s="81" t="b">
        <v>0</v>
      </c>
    </row>
    <row r="69">
      <c r="A69" s="26" t="s">
        <v>102</v>
      </c>
      <c r="B69" s="30"/>
      <c r="C69" s="31"/>
      <c r="D69" s="31"/>
      <c r="E69" s="23">
        <f t="shared" si="1"/>
        <v>0</v>
      </c>
      <c r="F69" s="30"/>
      <c r="G69" s="31"/>
      <c r="H69" s="31"/>
      <c r="I69" s="23">
        <f t="shared" si="2"/>
        <v>0</v>
      </c>
      <c r="J69" s="30"/>
      <c r="K69" s="31"/>
      <c r="L69" s="31"/>
      <c r="M69" s="23">
        <f t="shared" si="3"/>
        <v>0</v>
      </c>
      <c r="N69" s="30"/>
      <c r="O69" s="31"/>
      <c r="P69" s="31"/>
      <c r="Q69" s="23">
        <f t="shared" si="4"/>
        <v>0</v>
      </c>
      <c r="R69" s="30"/>
      <c r="S69" s="31"/>
      <c r="T69" s="31"/>
      <c r="U69" s="23">
        <f t="shared" si="5"/>
        <v>0</v>
      </c>
      <c r="V69" s="24">
        <f t="shared" si="6"/>
        <v>0</v>
      </c>
      <c r="W69" s="25" t="s">
        <v>22</v>
      </c>
      <c r="X69" s="49"/>
      <c r="Y69" s="89">
        <v>44960.0</v>
      </c>
      <c r="Z69" s="91"/>
      <c r="AA69" s="91"/>
      <c r="AB69" s="80" t="b">
        <v>0</v>
      </c>
      <c r="AC69" s="81" t="b">
        <v>0</v>
      </c>
    </row>
    <row r="70">
      <c r="A70" s="26" t="s">
        <v>103</v>
      </c>
      <c r="B70" s="30"/>
      <c r="C70" s="31"/>
      <c r="D70" s="31"/>
      <c r="E70" s="23">
        <f t="shared" si="1"/>
        <v>0</v>
      </c>
      <c r="F70" s="30"/>
      <c r="G70" s="31"/>
      <c r="H70" s="31"/>
      <c r="I70" s="23">
        <f t="shared" si="2"/>
        <v>0</v>
      </c>
      <c r="J70" s="30"/>
      <c r="K70" s="31"/>
      <c r="L70" s="31"/>
      <c r="M70" s="23">
        <f t="shared" si="3"/>
        <v>0</v>
      </c>
      <c r="N70" s="30"/>
      <c r="O70" s="31"/>
      <c r="P70" s="31"/>
      <c r="Q70" s="23">
        <f t="shared" si="4"/>
        <v>0</v>
      </c>
      <c r="R70" s="30"/>
      <c r="S70" s="31"/>
      <c r="T70" s="31"/>
      <c r="U70" s="23">
        <f t="shared" si="5"/>
        <v>0</v>
      </c>
      <c r="V70" s="24">
        <f t="shared" si="6"/>
        <v>0</v>
      </c>
      <c r="W70" s="25" t="s">
        <v>8</v>
      </c>
      <c r="X70" s="49"/>
      <c r="Y70" s="89">
        <v>44989.0</v>
      </c>
      <c r="Z70" s="91"/>
      <c r="AA70" s="91"/>
      <c r="AB70" s="80" t="b">
        <v>0</v>
      </c>
      <c r="AC70" s="81" t="b">
        <v>0</v>
      </c>
    </row>
    <row r="71">
      <c r="A71" s="26" t="s">
        <v>104</v>
      </c>
      <c r="B71" s="30"/>
      <c r="C71" s="31"/>
      <c r="D71" s="31"/>
      <c r="E71" s="23">
        <f t="shared" si="1"/>
        <v>0</v>
      </c>
      <c r="F71" s="30"/>
      <c r="G71" s="31"/>
      <c r="H71" s="31"/>
      <c r="I71" s="23">
        <f t="shared" si="2"/>
        <v>0</v>
      </c>
      <c r="J71" s="30"/>
      <c r="K71" s="31"/>
      <c r="L71" s="31"/>
      <c r="M71" s="23">
        <f t="shared" si="3"/>
        <v>0</v>
      </c>
      <c r="N71" s="30"/>
      <c r="O71" s="31"/>
      <c r="P71" s="31"/>
      <c r="Q71" s="23">
        <f t="shared" si="4"/>
        <v>0</v>
      </c>
      <c r="R71" s="30"/>
      <c r="S71" s="31"/>
      <c r="T71" s="31"/>
      <c r="U71" s="23">
        <f t="shared" si="5"/>
        <v>0</v>
      </c>
      <c r="V71" s="24">
        <f t="shared" si="6"/>
        <v>0</v>
      </c>
      <c r="W71" s="25" t="s">
        <v>23</v>
      </c>
      <c r="X71" s="49"/>
      <c r="Y71" s="49"/>
      <c r="Z71" s="49"/>
      <c r="AA71" s="49"/>
      <c r="AB71" s="49"/>
      <c r="AC71" s="49"/>
    </row>
    <row r="72">
      <c r="A72" s="26" t="s">
        <v>105</v>
      </c>
      <c r="B72" s="30"/>
      <c r="C72" s="31"/>
      <c r="D72" s="31"/>
      <c r="E72" s="23">
        <f t="shared" si="1"/>
        <v>0</v>
      </c>
      <c r="F72" s="30"/>
      <c r="G72" s="31"/>
      <c r="H72" s="31"/>
      <c r="I72" s="23">
        <f t="shared" si="2"/>
        <v>0</v>
      </c>
      <c r="J72" s="30"/>
      <c r="K72" s="31"/>
      <c r="L72" s="31"/>
      <c r="M72" s="23">
        <f t="shared" si="3"/>
        <v>0</v>
      </c>
      <c r="N72" s="30"/>
      <c r="O72" s="31"/>
      <c r="P72" s="31"/>
      <c r="Q72" s="23">
        <f t="shared" si="4"/>
        <v>0</v>
      </c>
      <c r="R72" s="30"/>
      <c r="S72" s="31"/>
      <c r="T72" s="31"/>
      <c r="U72" s="23">
        <f t="shared" si="5"/>
        <v>0</v>
      </c>
      <c r="V72" s="24">
        <f t="shared" si="6"/>
        <v>0</v>
      </c>
      <c r="W72" s="25" t="s">
        <v>23</v>
      </c>
      <c r="X72" s="25"/>
    </row>
    <row r="73">
      <c r="A73" s="26" t="s">
        <v>106</v>
      </c>
      <c r="B73" s="30"/>
      <c r="C73" s="31"/>
      <c r="D73" s="31"/>
      <c r="E73" s="23">
        <f t="shared" si="1"/>
        <v>0</v>
      </c>
      <c r="F73" s="30"/>
      <c r="G73" s="31"/>
      <c r="H73" s="31"/>
      <c r="I73" s="23">
        <f t="shared" si="2"/>
        <v>0</v>
      </c>
      <c r="J73" s="30"/>
      <c r="K73" s="31"/>
      <c r="L73" s="31"/>
      <c r="M73" s="23">
        <f t="shared" si="3"/>
        <v>0</v>
      </c>
      <c r="N73" s="30"/>
      <c r="O73" s="31"/>
      <c r="P73" s="31"/>
      <c r="Q73" s="23">
        <f t="shared" si="4"/>
        <v>0</v>
      </c>
      <c r="R73" s="30"/>
      <c r="S73" s="31"/>
      <c r="T73" s="31"/>
      <c r="U73" s="23">
        <f t="shared" si="5"/>
        <v>0</v>
      </c>
      <c r="V73" s="24">
        <f t="shared" si="6"/>
        <v>0</v>
      </c>
      <c r="W73" s="25" t="s">
        <v>8</v>
      </c>
      <c r="X73" s="49"/>
    </row>
    <row r="74">
      <c r="A74" s="26" t="s">
        <v>107</v>
      </c>
      <c r="B74" s="30"/>
      <c r="C74" s="31"/>
      <c r="D74" s="64">
        <v>1.0</v>
      </c>
      <c r="E74" s="23">
        <f t="shared" si="1"/>
        <v>1</v>
      </c>
      <c r="F74" s="30"/>
      <c r="G74" s="31"/>
      <c r="H74" s="64">
        <v>1.0</v>
      </c>
      <c r="I74" s="23">
        <f t="shared" si="2"/>
        <v>1</v>
      </c>
      <c r="J74" s="30"/>
      <c r="K74" s="64">
        <v>3.0</v>
      </c>
      <c r="L74" s="31"/>
      <c r="M74" s="23">
        <f t="shared" si="3"/>
        <v>3</v>
      </c>
      <c r="N74" s="30"/>
      <c r="O74" s="31"/>
      <c r="P74" s="31"/>
      <c r="Q74" s="23">
        <f t="shared" si="4"/>
        <v>0</v>
      </c>
      <c r="R74" s="30"/>
      <c r="S74" s="31"/>
      <c r="T74" s="31"/>
      <c r="U74" s="23">
        <f t="shared" si="5"/>
        <v>0</v>
      </c>
      <c r="V74" s="24">
        <f t="shared" si="6"/>
        <v>5</v>
      </c>
      <c r="W74" s="25" t="s">
        <v>25</v>
      </c>
      <c r="X74" s="49"/>
      <c r="Y74" s="92"/>
      <c r="Z74" s="92"/>
      <c r="AA74" s="92"/>
      <c r="AB74" s="92"/>
      <c r="AC74" s="92"/>
    </row>
    <row r="75">
      <c r="A75" s="70" t="s">
        <v>108</v>
      </c>
      <c r="B75" s="30"/>
      <c r="C75" s="31"/>
      <c r="D75" s="31"/>
      <c r="E75" s="23">
        <f t="shared" si="1"/>
        <v>0</v>
      </c>
      <c r="F75" s="30"/>
      <c r="G75" s="31"/>
      <c r="H75" s="31"/>
      <c r="I75" s="23">
        <f t="shared" si="2"/>
        <v>0</v>
      </c>
      <c r="J75" s="30"/>
      <c r="K75" s="31"/>
      <c r="L75" s="31"/>
      <c r="M75" s="23">
        <f t="shared" si="3"/>
        <v>0</v>
      </c>
      <c r="N75" s="30"/>
      <c r="O75" s="31"/>
      <c r="P75" s="31"/>
      <c r="Q75" s="23">
        <f t="shared" si="4"/>
        <v>0</v>
      </c>
      <c r="R75" s="30"/>
      <c r="S75" s="31"/>
      <c r="T75" s="31"/>
      <c r="U75" s="23">
        <f t="shared" si="5"/>
        <v>0</v>
      </c>
      <c r="V75" s="24">
        <f t="shared" si="6"/>
        <v>0</v>
      </c>
      <c r="W75" s="25" t="s">
        <v>22</v>
      </c>
      <c r="X75" s="49"/>
      <c r="Y75" s="92"/>
      <c r="Z75" s="92"/>
      <c r="AA75" s="93"/>
      <c r="AB75" s="49"/>
      <c r="AC75" s="49"/>
    </row>
    <row r="76">
      <c r="A76" s="26" t="s">
        <v>109</v>
      </c>
      <c r="B76" s="30"/>
      <c r="C76" s="31"/>
      <c r="D76" s="31"/>
      <c r="E76" s="23">
        <f t="shared" si="1"/>
        <v>0</v>
      </c>
      <c r="F76" s="30"/>
      <c r="G76" s="31"/>
      <c r="H76" s="31"/>
      <c r="I76" s="23">
        <f t="shared" si="2"/>
        <v>0</v>
      </c>
      <c r="J76" s="30"/>
      <c r="K76" s="31"/>
      <c r="L76" s="31"/>
      <c r="M76" s="23">
        <f t="shared" si="3"/>
        <v>0</v>
      </c>
      <c r="N76" s="30"/>
      <c r="O76" s="31"/>
      <c r="P76" s="31"/>
      <c r="Q76" s="23">
        <f t="shared" si="4"/>
        <v>0</v>
      </c>
      <c r="R76" s="30"/>
      <c r="S76" s="31"/>
      <c r="T76" s="31"/>
      <c r="U76" s="23">
        <f t="shared" si="5"/>
        <v>0</v>
      </c>
      <c r="V76" s="24">
        <f t="shared" si="6"/>
        <v>0</v>
      </c>
      <c r="W76" s="25" t="s">
        <v>23</v>
      </c>
      <c r="X76" s="49"/>
      <c r="Y76" s="92"/>
      <c r="Z76" s="92"/>
      <c r="AA76" s="92"/>
      <c r="AB76" s="49"/>
      <c r="AC76" s="49"/>
    </row>
    <row r="77">
      <c r="A77" s="26" t="s">
        <v>110</v>
      </c>
      <c r="B77" s="30"/>
      <c r="C77" s="31"/>
      <c r="D77" s="31"/>
      <c r="E77" s="23">
        <f t="shared" si="1"/>
        <v>0</v>
      </c>
      <c r="F77" s="30"/>
      <c r="G77" s="31"/>
      <c r="H77" s="31"/>
      <c r="I77" s="23">
        <f t="shared" si="2"/>
        <v>0</v>
      </c>
      <c r="J77" s="30"/>
      <c r="K77" s="31"/>
      <c r="L77" s="31"/>
      <c r="M77" s="23">
        <f t="shared" si="3"/>
        <v>0</v>
      </c>
      <c r="N77" s="30"/>
      <c r="O77" s="31"/>
      <c r="P77" s="31"/>
      <c r="Q77" s="23">
        <f t="shared" si="4"/>
        <v>0</v>
      </c>
      <c r="R77" s="30"/>
      <c r="S77" s="31"/>
      <c r="T77" s="31"/>
      <c r="U77" s="23">
        <f t="shared" si="5"/>
        <v>0</v>
      </c>
      <c r="V77" s="24">
        <f t="shared" si="6"/>
        <v>0</v>
      </c>
      <c r="W77" s="25" t="s">
        <v>22</v>
      </c>
      <c r="X77" s="49"/>
      <c r="Y77" s="92"/>
      <c r="Z77" s="92"/>
      <c r="AA77" s="92"/>
      <c r="AB77" s="49"/>
      <c r="AC77" s="49"/>
    </row>
    <row r="78">
      <c r="A78" s="94" t="s">
        <v>111</v>
      </c>
      <c r="B78" s="30"/>
      <c r="C78" s="31"/>
      <c r="D78" s="31"/>
      <c r="E78" s="23">
        <f t="shared" si="1"/>
        <v>0</v>
      </c>
      <c r="F78" s="30"/>
      <c r="G78" s="31"/>
      <c r="H78" s="31"/>
      <c r="I78" s="23">
        <f t="shared" si="2"/>
        <v>0</v>
      </c>
      <c r="J78" s="30"/>
      <c r="K78" s="31"/>
      <c r="L78" s="31"/>
      <c r="M78" s="23">
        <f t="shared" si="3"/>
        <v>0</v>
      </c>
      <c r="N78" s="30"/>
      <c r="O78" s="31"/>
      <c r="P78" s="31"/>
      <c r="Q78" s="23">
        <f t="shared" si="4"/>
        <v>0</v>
      </c>
      <c r="R78" s="30"/>
      <c r="S78" s="31"/>
      <c r="T78" s="31"/>
      <c r="U78" s="23">
        <f t="shared" si="5"/>
        <v>0</v>
      </c>
      <c r="V78" s="24">
        <f t="shared" si="6"/>
        <v>0</v>
      </c>
      <c r="W78" s="25" t="s">
        <v>22</v>
      </c>
      <c r="X78" s="49"/>
      <c r="Y78" s="92"/>
      <c r="Z78" s="92"/>
      <c r="AA78" s="92"/>
      <c r="AB78" s="49"/>
      <c r="AC78" s="49"/>
    </row>
    <row r="79">
      <c r="A79" s="95" t="s">
        <v>112</v>
      </c>
      <c r="B79" s="96"/>
      <c r="C79" s="97"/>
      <c r="D79" s="99">
        <v>1.0</v>
      </c>
      <c r="E79" s="23">
        <f t="shared" si="1"/>
        <v>1</v>
      </c>
      <c r="F79" s="96"/>
      <c r="G79" s="97"/>
      <c r="H79" s="97"/>
      <c r="I79" s="23">
        <f t="shared" si="2"/>
        <v>0</v>
      </c>
      <c r="J79" s="96"/>
      <c r="K79" s="97"/>
      <c r="L79" s="97"/>
      <c r="M79" s="23">
        <f t="shared" si="3"/>
        <v>0</v>
      </c>
      <c r="N79" s="96"/>
      <c r="O79" s="97"/>
      <c r="P79" s="97"/>
      <c r="Q79" s="23">
        <f t="shared" si="4"/>
        <v>0</v>
      </c>
      <c r="R79" s="96"/>
      <c r="S79" s="97"/>
      <c r="T79" s="97"/>
      <c r="U79" s="23">
        <f t="shared" si="5"/>
        <v>0</v>
      </c>
      <c r="V79" s="24">
        <f t="shared" si="6"/>
        <v>1</v>
      </c>
      <c r="W79" s="25" t="s">
        <v>8</v>
      </c>
      <c r="X79" s="49"/>
      <c r="Y79" s="92"/>
      <c r="Z79" s="92"/>
      <c r="AA79" s="92"/>
      <c r="AB79" s="49"/>
      <c r="AC79" s="49"/>
    </row>
    <row r="80" ht="17.25" customHeight="1">
      <c r="A80" s="95" t="s">
        <v>113</v>
      </c>
      <c r="B80" s="96"/>
      <c r="C80" s="97"/>
      <c r="D80" s="97"/>
      <c r="E80" s="23">
        <f t="shared" si="1"/>
        <v>0</v>
      </c>
      <c r="F80" s="98">
        <v>1.0</v>
      </c>
      <c r="G80" s="97"/>
      <c r="H80" s="97"/>
      <c r="I80" s="23">
        <f t="shared" si="2"/>
        <v>1</v>
      </c>
      <c r="J80" s="96"/>
      <c r="K80" s="99">
        <v>1.0</v>
      </c>
      <c r="L80" s="97"/>
      <c r="M80" s="23">
        <f t="shared" si="3"/>
        <v>1</v>
      </c>
      <c r="N80" s="96"/>
      <c r="O80" s="97"/>
      <c r="P80" s="97"/>
      <c r="Q80" s="23">
        <f t="shared" si="4"/>
        <v>0</v>
      </c>
      <c r="R80" s="96"/>
      <c r="S80" s="97"/>
      <c r="T80" s="97"/>
      <c r="U80" s="23">
        <f t="shared" si="5"/>
        <v>0</v>
      </c>
      <c r="V80" s="24">
        <f t="shared" si="6"/>
        <v>2</v>
      </c>
      <c r="W80" s="25" t="s">
        <v>22</v>
      </c>
      <c r="X80" s="49"/>
      <c r="Y80" s="49"/>
      <c r="Z80" s="49"/>
    </row>
    <row r="81" ht="18.0" customHeight="1">
      <c r="A81" s="95" t="s">
        <v>114</v>
      </c>
      <c r="B81" s="96"/>
      <c r="C81" s="97"/>
      <c r="D81" s="97"/>
      <c r="E81" s="23">
        <f t="shared" si="1"/>
        <v>0</v>
      </c>
      <c r="F81" s="96"/>
      <c r="G81" s="97"/>
      <c r="H81" s="97"/>
      <c r="I81" s="23">
        <f t="shared" si="2"/>
        <v>0</v>
      </c>
      <c r="J81" s="96"/>
      <c r="K81" s="97"/>
      <c r="L81" s="97"/>
      <c r="M81" s="23">
        <f t="shared" si="3"/>
        <v>0</v>
      </c>
      <c r="N81" s="96"/>
      <c r="O81" s="97"/>
      <c r="P81" s="97"/>
      <c r="Q81" s="23">
        <f t="shared" si="4"/>
        <v>0</v>
      </c>
      <c r="R81" s="96"/>
      <c r="S81" s="97"/>
      <c r="T81" s="97"/>
      <c r="U81" s="23">
        <f t="shared" si="5"/>
        <v>0</v>
      </c>
      <c r="V81" s="24">
        <f t="shared" si="6"/>
        <v>0</v>
      </c>
      <c r="W81" s="25" t="s">
        <v>8</v>
      </c>
      <c r="X81" s="49"/>
      <c r="Z81" s="49"/>
    </row>
    <row r="82">
      <c r="A82" s="95" t="s">
        <v>115</v>
      </c>
      <c r="B82" s="96"/>
      <c r="C82" s="97"/>
      <c r="D82" s="97"/>
      <c r="E82" s="23">
        <f t="shared" si="1"/>
        <v>0</v>
      </c>
      <c r="F82" s="96"/>
      <c r="G82" s="97"/>
      <c r="H82" s="97"/>
      <c r="I82" s="23">
        <f t="shared" si="2"/>
        <v>0</v>
      </c>
      <c r="J82" s="96"/>
      <c r="K82" s="97"/>
      <c r="L82" s="97"/>
      <c r="M82" s="23">
        <f t="shared" si="3"/>
        <v>0</v>
      </c>
      <c r="N82" s="96"/>
      <c r="O82" s="97"/>
      <c r="P82" s="97"/>
      <c r="Q82" s="23">
        <f t="shared" si="4"/>
        <v>0</v>
      </c>
      <c r="R82" s="96"/>
      <c r="S82" s="97"/>
      <c r="T82" s="97"/>
      <c r="U82" s="23">
        <f t="shared" si="5"/>
        <v>0</v>
      </c>
      <c r="V82" s="24">
        <f t="shared" si="6"/>
        <v>0</v>
      </c>
      <c r="W82" s="25" t="s">
        <v>8</v>
      </c>
    </row>
    <row r="83">
      <c r="A83" s="95" t="s">
        <v>116</v>
      </c>
      <c r="B83" s="96"/>
      <c r="C83" s="97"/>
      <c r="D83" s="97"/>
      <c r="E83" s="23">
        <f t="shared" si="1"/>
        <v>0</v>
      </c>
      <c r="F83" s="96"/>
      <c r="G83" s="97"/>
      <c r="H83" s="97"/>
      <c r="I83" s="23">
        <f t="shared" si="2"/>
        <v>0</v>
      </c>
      <c r="J83" s="96"/>
      <c r="K83" s="97"/>
      <c r="L83" s="97"/>
      <c r="M83" s="23">
        <f t="shared" si="3"/>
        <v>0</v>
      </c>
      <c r="N83" s="96"/>
      <c r="O83" s="97"/>
      <c r="P83" s="97"/>
      <c r="Q83" s="23">
        <f t="shared" si="4"/>
        <v>0</v>
      </c>
      <c r="R83" s="96"/>
      <c r="S83" s="97"/>
      <c r="T83" s="97"/>
      <c r="U83" s="23">
        <f t="shared" si="5"/>
        <v>0</v>
      </c>
      <c r="V83" s="24">
        <f t="shared" si="6"/>
        <v>0</v>
      </c>
      <c r="W83" s="25" t="s">
        <v>8</v>
      </c>
    </row>
    <row r="84">
      <c r="A84" s="95" t="s">
        <v>117</v>
      </c>
      <c r="B84" s="98"/>
      <c r="C84" s="97"/>
      <c r="D84" s="97"/>
      <c r="E84" s="23">
        <f t="shared" si="1"/>
        <v>0</v>
      </c>
      <c r="F84" s="96"/>
      <c r="G84" s="97"/>
      <c r="H84" s="99">
        <v>1.0</v>
      </c>
      <c r="I84" s="23">
        <f t="shared" si="2"/>
        <v>1</v>
      </c>
      <c r="J84" s="96"/>
      <c r="K84" s="97"/>
      <c r="L84" s="97"/>
      <c r="M84" s="23">
        <f t="shared" si="3"/>
        <v>0</v>
      </c>
      <c r="N84" s="96"/>
      <c r="O84" s="97"/>
      <c r="P84" s="97"/>
      <c r="Q84" s="23">
        <f t="shared" si="4"/>
        <v>0</v>
      </c>
      <c r="R84" s="96"/>
      <c r="S84" s="97"/>
      <c r="T84" s="97"/>
      <c r="U84" s="23">
        <f t="shared" si="5"/>
        <v>0</v>
      </c>
      <c r="V84" s="24">
        <f t="shared" si="6"/>
        <v>1</v>
      </c>
      <c r="W84" s="25" t="s">
        <v>8</v>
      </c>
    </row>
    <row r="85">
      <c r="A85" s="100" t="s">
        <v>118</v>
      </c>
      <c r="B85" s="104">
        <f t="shared" ref="B85:D85" si="9">sum(B4:B84)</f>
        <v>12</v>
      </c>
      <c r="C85" s="104">
        <f t="shared" si="9"/>
        <v>0</v>
      </c>
      <c r="D85" s="104">
        <f t="shared" si="9"/>
        <v>13</v>
      </c>
      <c r="E85" s="105"/>
      <c r="F85" s="104">
        <f t="shared" ref="F85:H85" si="10">sum(F4:F84)</f>
        <v>9</v>
      </c>
      <c r="G85" s="104">
        <f t="shared" si="10"/>
        <v>0</v>
      </c>
      <c r="H85" s="104">
        <f t="shared" si="10"/>
        <v>15</v>
      </c>
      <c r="I85" s="105"/>
      <c r="J85" s="104">
        <f t="shared" ref="J85:L85" si="11">sum(J4:J84)</f>
        <v>2</v>
      </c>
      <c r="K85" s="104">
        <f t="shared" si="11"/>
        <v>4</v>
      </c>
      <c r="L85" s="104">
        <f t="shared" si="11"/>
        <v>5</v>
      </c>
      <c r="M85" s="105"/>
      <c r="N85" s="104">
        <f t="shared" ref="N85:P85" si="12">sum(N4:N84)</f>
        <v>1</v>
      </c>
      <c r="O85" s="104">
        <f t="shared" si="12"/>
        <v>0</v>
      </c>
      <c r="P85" s="104">
        <f t="shared" si="12"/>
        <v>4</v>
      </c>
      <c r="Q85" s="105"/>
      <c r="R85" s="104">
        <f t="shared" ref="R85:T85" si="13">sum(R4:R84)</f>
        <v>9</v>
      </c>
      <c r="S85" s="104">
        <f t="shared" si="13"/>
        <v>0</v>
      </c>
      <c r="T85" s="104">
        <f t="shared" si="13"/>
        <v>6</v>
      </c>
      <c r="U85" s="105"/>
    </row>
    <row r="86">
      <c r="A86" s="106" t="s">
        <v>119</v>
      </c>
      <c r="B86" s="118">
        <v>6.0</v>
      </c>
      <c r="C86" s="111"/>
      <c r="D86" s="111"/>
      <c r="E86" s="112"/>
      <c r="F86" s="110">
        <v>11.0</v>
      </c>
      <c r="G86" s="111"/>
      <c r="H86" s="111"/>
      <c r="I86" s="112"/>
      <c r="J86" s="110">
        <v>7.0</v>
      </c>
      <c r="K86" s="111"/>
      <c r="L86" s="111"/>
      <c r="M86" s="112"/>
      <c r="N86" s="110">
        <v>4.0</v>
      </c>
      <c r="O86" s="111"/>
      <c r="P86" s="111"/>
      <c r="Q86" s="112"/>
      <c r="R86" s="110">
        <v>5.0</v>
      </c>
      <c r="S86" s="111"/>
      <c r="T86" s="111"/>
      <c r="U86" s="112"/>
    </row>
  </sheetData>
  <mergeCells count="17">
    <mergeCell ref="B1:E2"/>
    <mergeCell ref="F1:I2"/>
    <mergeCell ref="J1:M2"/>
    <mergeCell ref="N1:Q2"/>
    <mergeCell ref="R1:U2"/>
    <mergeCell ref="AG5:AI5"/>
    <mergeCell ref="Y13:AE13"/>
    <mergeCell ref="J86:M86"/>
    <mergeCell ref="N86:Q86"/>
    <mergeCell ref="Y21:AC21"/>
    <mergeCell ref="Y32:AC32"/>
    <mergeCell ref="Y42:AC42"/>
    <mergeCell ref="Y52:AC52"/>
    <mergeCell ref="Y62:AC62"/>
    <mergeCell ref="B86:E86"/>
    <mergeCell ref="F86:I86"/>
    <mergeCell ref="R86:U86"/>
  </mergeCells>
  <dataValidations>
    <dataValidation type="list" allowBlank="1" showErrorMessage="1" sqref="W4:W84">
      <formula1>"Academics,Referral,Financial,Mental Health and Wellness,Other"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51.63"/>
    <col customWidth="1" min="2" max="2" width="7.0"/>
    <col customWidth="1" min="3" max="3" width="6.88"/>
    <col customWidth="1" min="4" max="4" width="7.25"/>
    <col customWidth="1" min="5" max="5" width="9.5"/>
    <col customWidth="1" min="6" max="6" width="7.0"/>
    <col customWidth="1" min="7" max="7" width="6.88"/>
    <col customWidth="1" min="8" max="8" width="7.25"/>
    <col customWidth="1" min="9" max="9" width="9.5"/>
    <col customWidth="1" min="10" max="10" width="7.0"/>
    <col customWidth="1" min="11" max="11" width="6.88"/>
    <col customWidth="1" min="12" max="12" width="7.25"/>
    <col customWidth="1" min="13" max="13" width="9.5"/>
    <col customWidth="1" min="14" max="14" width="7.0"/>
    <col customWidth="1" min="15" max="15" width="6.88"/>
    <col customWidth="1" min="16" max="16" width="7.25"/>
    <col customWidth="1" min="17" max="17" width="9.5"/>
    <col customWidth="1" min="18" max="18" width="7.0"/>
    <col customWidth="1" min="19" max="19" width="6.88"/>
    <col customWidth="1" min="20" max="20" width="7.25"/>
    <col customWidth="1" min="21" max="21" width="9.5"/>
    <col customWidth="1" min="22" max="22" width="16.63"/>
    <col customWidth="1" min="23" max="23" width="21.38"/>
    <col customWidth="1" min="25" max="25" width="22.88"/>
    <col customWidth="1" min="26" max="26" width="24.5"/>
    <col customWidth="1" min="27" max="27" width="13.63"/>
    <col customWidth="1" min="33" max="33" width="15.38"/>
    <col customWidth="1" min="34" max="34" width="37.38"/>
  </cols>
  <sheetData>
    <row r="1">
      <c r="A1" s="1"/>
      <c r="B1" s="5">
        <v>45341.0</v>
      </c>
      <c r="C1" s="3"/>
      <c r="D1" s="3"/>
      <c r="E1" s="4"/>
      <c r="F1" s="5">
        <v>45342.0</v>
      </c>
      <c r="G1" s="3"/>
      <c r="H1" s="3"/>
      <c r="I1" s="4"/>
      <c r="J1" s="5">
        <v>45343.0</v>
      </c>
      <c r="K1" s="3"/>
      <c r="L1" s="3"/>
      <c r="M1" s="4"/>
      <c r="N1" s="5">
        <v>45344.0</v>
      </c>
      <c r="O1" s="3"/>
      <c r="P1" s="3"/>
      <c r="Q1" s="4"/>
      <c r="R1" s="5">
        <v>45345.0</v>
      </c>
      <c r="S1" s="3"/>
      <c r="T1" s="3"/>
      <c r="U1" s="4"/>
    </row>
    <row r="2">
      <c r="A2" s="1"/>
      <c r="B2" s="6"/>
      <c r="C2" s="7"/>
      <c r="D2" s="7"/>
      <c r="E2" s="8"/>
      <c r="F2" s="6"/>
      <c r="G2" s="7"/>
      <c r="H2" s="7"/>
      <c r="I2" s="8"/>
      <c r="J2" s="6"/>
      <c r="K2" s="7"/>
      <c r="L2" s="7"/>
      <c r="M2" s="8"/>
      <c r="N2" s="6"/>
      <c r="O2" s="7"/>
      <c r="P2" s="7"/>
      <c r="Q2" s="8"/>
      <c r="R2" s="6"/>
      <c r="S2" s="7"/>
      <c r="T2" s="7"/>
      <c r="U2" s="8"/>
    </row>
    <row r="3" ht="18.0" customHeight="1">
      <c r="A3" s="9" t="s">
        <v>0</v>
      </c>
      <c r="B3" s="10" t="s">
        <v>1</v>
      </c>
      <c r="C3" s="11" t="s">
        <v>2</v>
      </c>
      <c r="D3" s="12" t="s">
        <v>3</v>
      </c>
      <c r="E3" s="13" t="s">
        <v>4</v>
      </c>
      <c r="F3" s="10" t="s">
        <v>1</v>
      </c>
      <c r="G3" s="11" t="s">
        <v>2</v>
      </c>
      <c r="H3" s="12" t="s">
        <v>3</v>
      </c>
      <c r="I3" s="13" t="s">
        <v>4</v>
      </c>
      <c r="J3" s="10" t="s">
        <v>1</v>
      </c>
      <c r="K3" s="11" t="s">
        <v>2</v>
      </c>
      <c r="L3" s="12" t="s">
        <v>3</v>
      </c>
      <c r="M3" s="13" t="s">
        <v>4</v>
      </c>
      <c r="N3" s="10" t="s">
        <v>1</v>
      </c>
      <c r="O3" s="11" t="s">
        <v>2</v>
      </c>
      <c r="P3" s="12" t="s">
        <v>3</v>
      </c>
      <c r="Q3" s="13" t="s">
        <v>4</v>
      </c>
      <c r="R3" s="10" t="s">
        <v>1</v>
      </c>
      <c r="S3" s="11" t="s">
        <v>2</v>
      </c>
      <c r="T3" s="12" t="s">
        <v>3</v>
      </c>
      <c r="U3" s="13" t="s">
        <v>4</v>
      </c>
      <c r="V3" s="14" t="s">
        <v>5</v>
      </c>
      <c r="W3" s="15" t="s">
        <v>6</v>
      </c>
    </row>
    <row r="4">
      <c r="A4" s="16" t="s">
        <v>7</v>
      </c>
      <c r="B4" s="113">
        <v>1.0</v>
      </c>
      <c r="C4" s="22"/>
      <c r="D4" s="22"/>
      <c r="E4" s="23">
        <f t="shared" ref="E4:E84" si="1">sum(B4:D4)</f>
        <v>1</v>
      </c>
      <c r="F4" s="21"/>
      <c r="G4" s="22"/>
      <c r="H4" s="22"/>
      <c r="I4" s="23">
        <f t="shared" ref="I4:I84" si="2">sum(F4:H4)</f>
        <v>0</v>
      </c>
      <c r="J4" s="113">
        <v>1.0</v>
      </c>
      <c r="K4" s="22"/>
      <c r="L4" s="22"/>
      <c r="M4" s="23">
        <f t="shared" ref="M4:M84" si="3">sum(J4:L4)</f>
        <v>1</v>
      </c>
      <c r="N4" s="21"/>
      <c r="O4" s="22"/>
      <c r="P4" s="22"/>
      <c r="Q4" s="23">
        <f t="shared" ref="Q4:Q84" si="4">sum(N4:P4)</f>
        <v>0</v>
      </c>
      <c r="R4" s="113">
        <v>1.0</v>
      </c>
      <c r="S4" s="22"/>
      <c r="T4" s="22"/>
      <c r="U4" s="23">
        <f t="shared" ref="U4:U84" si="5">sum(R4:T4)</f>
        <v>1</v>
      </c>
      <c r="V4" s="24">
        <f t="shared" ref="V4:V84" si="6">sum(E4,I4,M4,Q4,U4)</f>
        <v>3</v>
      </c>
      <c r="W4" s="25" t="s">
        <v>8</v>
      </c>
    </row>
    <row r="5">
      <c r="A5" s="26" t="s">
        <v>9</v>
      </c>
      <c r="B5" s="38">
        <v>1.0</v>
      </c>
      <c r="C5" s="31"/>
      <c r="D5" s="31"/>
      <c r="E5" s="23">
        <f t="shared" si="1"/>
        <v>1</v>
      </c>
      <c r="F5" s="38">
        <v>1.0</v>
      </c>
      <c r="G5" s="31"/>
      <c r="H5" s="31"/>
      <c r="I5" s="23">
        <f t="shared" si="2"/>
        <v>1</v>
      </c>
      <c r="J5" s="30"/>
      <c r="K5" s="31"/>
      <c r="L5" s="31"/>
      <c r="M5" s="23">
        <f t="shared" si="3"/>
        <v>0</v>
      </c>
      <c r="N5" s="38">
        <v>1.0</v>
      </c>
      <c r="O5" s="31"/>
      <c r="P5" s="64">
        <v>1.0</v>
      </c>
      <c r="Q5" s="23">
        <f t="shared" si="4"/>
        <v>2</v>
      </c>
      <c r="R5" s="38">
        <v>1.0</v>
      </c>
      <c r="S5" s="31"/>
      <c r="T5" s="31"/>
      <c r="U5" s="23">
        <f t="shared" si="5"/>
        <v>1</v>
      </c>
      <c r="V5" s="24">
        <f t="shared" si="6"/>
        <v>5</v>
      </c>
      <c r="W5" s="25" t="s">
        <v>8</v>
      </c>
      <c r="Y5" s="32" t="s">
        <v>10</v>
      </c>
      <c r="Z5" s="33" t="s">
        <v>11</v>
      </c>
      <c r="AB5" s="34"/>
      <c r="AG5" s="35" t="s">
        <v>12</v>
      </c>
      <c r="AH5" s="36"/>
      <c r="AI5" s="37"/>
    </row>
    <row r="6">
      <c r="A6" s="26" t="s">
        <v>13</v>
      </c>
      <c r="B6" s="30"/>
      <c r="C6" s="31"/>
      <c r="D6" s="31"/>
      <c r="E6" s="23">
        <f t="shared" si="1"/>
        <v>0</v>
      </c>
      <c r="F6" s="30"/>
      <c r="G6" s="31"/>
      <c r="H6" s="31"/>
      <c r="I6" s="23">
        <f t="shared" si="2"/>
        <v>0</v>
      </c>
      <c r="J6" s="30"/>
      <c r="K6" s="31"/>
      <c r="L6" s="31"/>
      <c r="M6" s="23">
        <f t="shared" si="3"/>
        <v>0</v>
      </c>
      <c r="N6" s="30"/>
      <c r="O6" s="31"/>
      <c r="P6" s="31"/>
      <c r="Q6" s="23">
        <f t="shared" si="4"/>
        <v>0</v>
      </c>
      <c r="R6" s="30"/>
      <c r="S6" s="31"/>
      <c r="T6" s="31"/>
      <c r="U6" s="23">
        <f t="shared" si="5"/>
        <v>0</v>
      </c>
      <c r="V6" s="24">
        <f t="shared" si="6"/>
        <v>0</v>
      </c>
      <c r="W6" s="25" t="s">
        <v>8</v>
      </c>
      <c r="Y6" s="39" t="s">
        <v>14</v>
      </c>
      <c r="Z6" s="40">
        <f>SUMIF(W:W,"Academics",V:V)</f>
        <v>22</v>
      </c>
      <c r="AG6" s="41"/>
      <c r="AH6" s="42" t="s">
        <v>15</v>
      </c>
      <c r="AI6" s="42" t="s">
        <v>16</v>
      </c>
    </row>
    <row r="7">
      <c r="A7" s="26" t="s">
        <v>17</v>
      </c>
      <c r="B7" s="30"/>
      <c r="C7" s="31"/>
      <c r="D7" s="31"/>
      <c r="E7" s="23">
        <f t="shared" si="1"/>
        <v>0</v>
      </c>
      <c r="F7" s="30"/>
      <c r="G7" s="31"/>
      <c r="H7" s="31"/>
      <c r="I7" s="23">
        <f t="shared" si="2"/>
        <v>0</v>
      </c>
      <c r="J7" s="30"/>
      <c r="K7" s="31"/>
      <c r="L7" s="31"/>
      <c r="M7" s="23">
        <f t="shared" si="3"/>
        <v>0</v>
      </c>
      <c r="N7" s="30"/>
      <c r="O7" s="31"/>
      <c r="P7" s="31"/>
      <c r="Q7" s="23">
        <f t="shared" si="4"/>
        <v>0</v>
      </c>
      <c r="R7" s="30"/>
      <c r="S7" s="31"/>
      <c r="T7" s="31"/>
      <c r="U7" s="23">
        <f t="shared" si="5"/>
        <v>0</v>
      </c>
      <c r="V7" s="24">
        <f t="shared" si="6"/>
        <v>0</v>
      </c>
      <c r="W7" s="25" t="s">
        <v>8</v>
      </c>
      <c r="Y7" s="43" t="s">
        <v>18</v>
      </c>
      <c r="Z7" s="44">
        <f>SUMIF(W:W,"Referral",V:V)</f>
        <v>6</v>
      </c>
      <c r="AG7" s="45">
        <v>1.0</v>
      </c>
      <c r="AH7" s="46" t="str">
        <f t="array" ref="AH7">IFERROR(TEXTJOIN(", ", TRUE, IF($V$4:$V$84=AI7, $A$4:$A$84, "")), "")
</f>
        <v>Academic Consideration Requests (ACRs) - Missing Classes, Study Halls</v>
      </c>
      <c r="AI7" s="47">
        <f>LARGE($V$4:$V$84,1)</f>
        <v>5</v>
      </c>
    </row>
    <row r="8">
      <c r="A8" s="26" t="s">
        <v>19</v>
      </c>
      <c r="B8" s="30"/>
      <c r="C8" s="31"/>
      <c r="D8" s="31"/>
      <c r="E8" s="23">
        <f t="shared" si="1"/>
        <v>0</v>
      </c>
      <c r="F8" s="30"/>
      <c r="G8" s="31"/>
      <c r="H8" s="31"/>
      <c r="I8" s="23">
        <f t="shared" si="2"/>
        <v>0</v>
      </c>
      <c r="J8" s="30"/>
      <c r="K8" s="31"/>
      <c r="L8" s="31"/>
      <c r="M8" s="23">
        <f t="shared" si="3"/>
        <v>0</v>
      </c>
      <c r="N8" s="30"/>
      <c r="O8" s="31"/>
      <c r="P8" s="31"/>
      <c r="Q8" s="23">
        <f t="shared" si="4"/>
        <v>0</v>
      </c>
      <c r="R8" s="30"/>
      <c r="S8" s="31"/>
      <c r="T8" s="31"/>
      <c r="U8" s="23">
        <f t="shared" si="5"/>
        <v>0</v>
      </c>
      <c r="V8" s="24">
        <f t="shared" si="6"/>
        <v>0</v>
      </c>
      <c r="W8" s="25" t="s">
        <v>8</v>
      </c>
      <c r="Y8" s="43" t="s">
        <v>20</v>
      </c>
      <c r="Z8" s="44">
        <f>SUMIF(W:W,"Financial",V:V)</f>
        <v>3</v>
      </c>
      <c r="AG8" s="45">
        <v>2.0</v>
      </c>
      <c r="AH8" s="46" t="str">
        <f t="array" ref="AH8">IFERROR(TEXTJOIN(", ", TRUE, IF($V$4:$V$84=AI8, $A$4:$A$84, "")), "")
</f>
        <v>Academic Advising Appointments, Admissions</v>
      </c>
      <c r="AI8" s="46">
        <f t="array" ref="AI8">LARGE(IF($V$4:$V$84&lt;&gt;MAX($AI$7:AI7),$V$4:$V$84),1)</f>
        <v>3</v>
      </c>
    </row>
    <row r="9">
      <c r="A9" s="26" t="s">
        <v>21</v>
      </c>
      <c r="B9" s="30"/>
      <c r="C9" s="31"/>
      <c r="D9" s="31"/>
      <c r="E9" s="23">
        <f t="shared" si="1"/>
        <v>0</v>
      </c>
      <c r="F9" s="30"/>
      <c r="G9" s="31"/>
      <c r="H9" s="31"/>
      <c r="I9" s="23">
        <f t="shared" si="2"/>
        <v>0</v>
      </c>
      <c r="J9" s="38">
        <v>1.0</v>
      </c>
      <c r="K9" s="31"/>
      <c r="L9" s="31"/>
      <c r="M9" s="23">
        <f t="shared" si="3"/>
        <v>1</v>
      </c>
      <c r="N9" s="30"/>
      <c r="O9" s="31"/>
      <c r="P9" s="64">
        <v>1.0</v>
      </c>
      <c r="Q9" s="23">
        <f t="shared" si="4"/>
        <v>1</v>
      </c>
      <c r="R9" s="30"/>
      <c r="S9" s="31"/>
      <c r="T9" s="64">
        <v>1.0</v>
      </c>
      <c r="U9" s="23">
        <f t="shared" si="5"/>
        <v>1</v>
      </c>
      <c r="V9" s="24">
        <f t="shared" si="6"/>
        <v>3</v>
      </c>
      <c r="W9" s="25" t="s">
        <v>22</v>
      </c>
      <c r="Y9" s="48" t="s">
        <v>23</v>
      </c>
      <c r="Z9" s="40">
        <f>SUMIF(W:W, "Mental Health and Wellness", V:V)</f>
        <v>0</v>
      </c>
      <c r="AG9" s="45">
        <v>3.0</v>
      </c>
      <c r="AH9" s="46" t="str">
        <f t="array" ref="AH9">IFERROR(TEXTJOIN(", ", TRUE, IF($V$4:$V$84=AI9, $A$4:$A$84, "")), "")
</f>
        <v>Course Drop, Course Outlines, Directions, Exams/Mid-Terms, Fees, Other</v>
      </c>
      <c r="AI9" s="46">
        <f t="array" ref="AI9">LARGE(IF($V$4:$V$84&lt;&gt;MAX($AI$7:AI7),IF($V$4:$V$84&lt;&gt;MAX($AI$8:AI8),$V$4:$V$84)),1)</f>
        <v>2</v>
      </c>
    </row>
    <row r="10">
      <c r="A10" s="26" t="s">
        <v>24</v>
      </c>
      <c r="B10" s="30"/>
      <c r="C10" s="31"/>
      <c r="D10" s="31"/>
      <c r="E10" s="23">
        <f t="shared" si="1"/>
        <v>0</v>
      </c>
      <c r="F10" s="30"/>
      <c r="G10" s="31"/>
      <c r="H10" s="31"/>
      <c r="I10" s="23">
        <f t="shared" si="2"/>
        <v>0</v>
      </c>
      <c r="J10" s="30"/>
      <c r="K10" s="31"/>
      <c r="L10" s="31"/>
      <c r="M10" s="23">
        <f t="shared" si="3"/>
        <v>0</v>
      </c>
      <c r="N10" s="30"/>
      <c r="O10" s="31"/>
      <c r="P10" s="31"/>
      <c r="Q10" s="23">
        <f t="shared" si="4"/>
        <v>0</v>
      </c>
      <c r="R10" s="30"/>
      <c r="S10" s="31"/>
      <c r="T10" s="31"/>
      <c r="U10" s="23">
        <f t="shared" si="5"/>
        <v>0</v>
      </c>
      <c r="V10" s="24">
        <f t="shared" si="6"/>
        <v>0</v>
      </c>
      <c r="W10" s="25" t="s">
        <v>8</v>
      </c>
      <c r="Y10" s="48" t="s">
        <v>25</v>
      </c>
      <c r="Z10" s="40">
        <f>SUMIF(W:W, "Other", V:V)</f>
        <v>3</v>
      </c>
      <c r="AG10" s="45">
        <v>4.0</v>
      </c>
      <c r="AH10" s="46" t="str">
        <f t="array" ref="AH10">IFERROR(TEXTJOIN(", ", TRUE, IF($V$4:$V$84=AI10, $A$4:$A$84, "")), "")
</f>
        <v>CCS/Student Help Desk, Course Planning/Course Load management, Engineering Program Transition Courses, OSAP, Plan Change, Supplies Request, e.g. stapler, scissor, etc</v>
      </c>
      <c r="AI10" s="46">
        <f t="array" ref="AI10">LARGE(IF($V$4:$V$84&lt;&gt;MAX($AI$7:AI7), IF($V$4:$V$84&lt;&gt;MAX($AI$8:AI8), IF($V$4:$V$84&lt;&gt;MAX($AI$9:AI9), $V$4:$V$84))), 1)</f>
        <v>1</v>
      </c>
    </row>
    <row r="11">
      <c r="A11" s="26" t="s">
        <v>26</v>
      </c>
      <c r="B11" s="30"/>
      <c r="C11" s="31"/>
      <c r="D11" s="31"/>
      <c r="E11" s="23">
        <f t="shared" si="1"/>
        <v>0</v>
      </c>
      <c r="F11" s="30"/>
      <c r="G11" s="31"/>
      <c r="H11" s="31"/>
      <c r="I11" s="23">
        <f t="shared" si="2"/>
        <v>0</v>
      </c>
      <c r="J11" s="30"/>
      <c r="K11" s="31"/>
      <c r="L11" s="31"/>
      <c r="M11" s="23">
        <f t="shared" si="3"/>
        <v>0</v>
      </c>
      <c r="N11" s="30"/>
      <c r="O11" s="31"/>
      <c r="P11" s="31"/>
      <c r="Q11" s="23">
        <f t="shared" si="4"/>
        <v>0</v>
      </c>
      <c r="R11" s="30"/>
      <c r="S11" s="31"/>
      <c r="T11" s="31"/>
      <c r="U11" s="23">
        <f t="shared" si="5"/>
        <v>0</v>
      </c>
      <c r="V11" s="24">
        <f t="shared" si="6"/>
        <v>0</v>
      </c>
      <c r="W11" s="25" t="s">
        <v>22</v>
      </c>
      <c r="Y11" s="49"/>
      <c r="Z11" s="50"/>
      <c r="AG11" s="45">
        <v>5.0</v>
      </c>
      <c r="AH11" s="46" t="str">
        <f t="array" ref="AH11">IFERROR(TEXTJOIN(", ", TRUE, IF($V$4:$V$84=AI11, $A$4:$A$84, "")), "")
</f>
        <v>Academic Standing, Access Centre/Academic Accomodation Support, ACES, Advisement Report, Appeals, Awards/Scholarships, Building and Campus access , Careers/Employment, CEN100, Chang School, Computer Labs, Contact Info Requests, Coop, Counselling Centre Appointments, Course Delivery , Course Enrollment , Course Intentions, Course Swap, D2L, Discipline , Early Intervention , Enrollment Period, First Year Ambassador Program, First Year in Two Years, Fresh Start / Reinstatement, General Academic Advising, GPA/CGPA, Graduate Studies, Holidays, e.g. Reading Week, Stat Holidays, etc, International Student Support, Letter of Permission/Taking Courses outside TMU, Liberals, Lockers, Lost and Found, Math Centre, Mentoring, Mini Math, Minors, MyServiceHub Navigation, One Card, Orientation, OSMS/OSEIE, Parents Night, Printing, Probation Contract, Probationary Standing, Promotion to 2nd Year, Proof of Enrollment/3rd Party Letter Request, Required to Withdraw (RTW), Residence/Student Housing, Retroactive Course Drop, Service Hub, Special Student (Not enrolled in Engineering at TMU), Student Clubs - General, Student Life and Learning Support (SLLS), Test Center/Makeup Exam, Toronto Mentropolitan Student Union (TMSU), Transfer Credits, Transferring Programs - Outside of Engineering, Tutoring - Student Learning Support, Upper Year Students, Wait List, Withdrawal - Permanent, Withdrawal - Short Term, Writing Test/CEN 199</v>
      </c>
      <c r="AI11" s="46">
        <f t="array" ref="AI11">LARGE(IF($V$4:$V$84&lt;&gt;MAX($AI$7:AI7), IF($V$4:$V$84&lt;&gt;MAX($AI$8:AI8), IF($V$4:$V$84&lt;&gt;MAX($AI$9:AI9), IF($V$4:$V$84&lt;&gt;MAX($AI$10:AI10), $V$4:$V$84)))), 1)</f>
        <v>0</v>
      </c>
    </row>
    <row r="12">
      <c r="A12" s="26" t="s">
        <v>27</v>
      </c>
      <c r="B12" s="30"/>
      <c r="C12" s="31"/>
      <c r="D12" s="31"/>
      <c r="E12" s="23">
        <f t="shared" si="1"/>
        <v>0</v>
      </c>
      <c r="F12" s="30"/>
      <c r="G12" s="31"/>
      <c r="H12" s="31"/>
      <c r="I12" s="23">
        <f t="shared" si="2"/>
        <v>0</v>
      </c>
      <c r="J12" s="30"/>
      <c r="K12" s="31"/>
      <c r="L12" s="31"/>
      <c r="M12" s="23">
        <f t="shared" si="3"/>
        <v>0</v>
      </c>
      <c r="N12" s="30"/>
      <c r="O12" s="31"/>
      <c r="P12" s="31"/>
      <c r="Q12" s="23">
        <f t="shared" si="4"/>
        <v>0</v>
      </c>
      <c r="R12" s="30"/>
      <c r="S12" s="31"/>
      <c r="T12" s="31"/>
      <c r="U12" s="23">
        <f t="shared" si="5"/>
        <v>0</v>
      </c>
      <c r="V12" s="24">
        <f t="shared" si="6"/>
        <v>0</v>
      </c>
      <c r="W12" s="25" t="s">
        <v>22</v>
      </c>
      <c r="Y12" s="25"/>
      <c r="Z12" s="50"/>
    </row>
    <row r="13">
      <c r="A13" s="26" t="s">
        <v>28</v>
      </c>
      <c r="B13" s="30"/>
      <c r="C13" s="31"/>
      <c r="D13" s="31"/>
      <c r="E13" s="23">
        <f t="shared" si="1"/>
        <v>0</v>
      </c>
      <c r="F13" s="30"/>
      <c r="G13" s="31"/>
      <c r="H13" s="31"/>
      <c r="I13" s="23">
        <f t="shared" si="2"/>
        <v>0</v>
      </c>
      <c r="J13" s="30"/>
      <c r="K13" s="31"/>
      <c r="L13" s="31"/>
      <c r="M13" s="23">
        <f t="shared" si="3"/>
        <v>0</v>
      </c>
      <c r="N13" s="30"/>
      <c r="O13" s="31"/>
      <c r="P13" s="31"/>
      <c r="Q13" s="23">
        <f t="shared" si="4"/>
        <v>0</v>
      </c>
      <c r="R13" s="30"/>
      <c r="S13" s="31"/>
      <c r="T13" s="31"/>
      <c r="U13" s="23">
        <f t="shared" si="5"/>
        <v>0</v>
      </c>
      <c r="V13" s="24">
        <f t="shared" si="6"/>
        <v>0</v>
      </c>
      <c r="W13" s="25" t="s">
        <v>22</v>
      </c>
      <c r="Y13" s="51" t="s">
        <v>29</v>
      </c>
      <c r="Z13" s="52"/>
      <c r="AA13" s="52"/>
      <c r="AB13" s="52"/>
      <c r="AC13" s="52"/>
      <c r="AD13" s="52"/>
      <c r="AE13" s="53"/>
    </row>
    <row r="14">
      <c r="A14" s="26" t="s">
        <v>30</v>
      </c>
      <c r="B14" s="30"/>
      <c r="C14" s="31"/>
      <c r="D14" s="31"/>
      <c r="E14" s="23">
        <f t="shared" si="1"/>
        <v>0</v>
      </c>
      <c r="F14" s="30"/>
      <c r="G14" s="31"/>
      <c r="H14" s="31"/>
      <c r="I14" s="23">
        <f t="shared" si="2"/>
        <v>0</v>
      </c>
      <c r="J14" s="30"/>
      <c r="K14" s="31"/>
      <c r="L14" s="31"/>
      <c r="M14" s="23">
        <f t="shared" si="3"/>
        <v>0</v>
      </c>
      <c r="N14" s="30"/>
      <c r="O14" s="31"/>
      <c r="P14" s="31"/>
      <c r="Q14" s="23">
        <f t="shared" si="4"/>
        <v>0</v>
      </c>
      <c r="R14" s="30"/>
      <c r="S14" s="31"/>
      <c r="T14" s="31"/>
      <c r="U14" s="23">
        <f t="shared" si="5"/>
        <v>0</v>
      </c>
      <c r="V14" s="24">
        <f t="shared" si="6"/>
        <v>0</v>
      </c>
      <c r="W14" s="25" t="s">
        <v>22</v>
      </c>
      <c r="X14" s="49"/>
      <c r="Y14" s="54"/>
      <c r="Z14" s="55" t="s">
        <v>31</v>
      </c>
      <c r="AA14" s="55" t="s">
        <v>32</v>
      </c>
      <c r="AB14" s="56" t="s">
        <v>33</v>
      </c>
      <c r="AC14" s="55" t="s">
        <v>34</v>
      </c>
      <c r="AD14" s="57" t="s">
        <v>35</v>
      </c>
      <c r="AE14" s="58" t="s">
        <v>36</v>
      </c>
    </row>
    <row r="15">
      <c r="A15" s="26" t="s">
        <v>37</v>
      </c>
      <c r="B15" s="30"/>
      <c r="C15" s="31"/>
      <c r="D15" s="31"/>
      <c r="E15" s="23">
        <f t="shared" si="1"/>
        <v>0</v>
      </c>
      <c r="F15" s="38">
        <v>1.0</v>
      </c>
      <c r="G15" s="31"/>
      <c r="H15" s="31"/>
      <c r="I15" s="23">
        <f t="shared" si="2"/>
        <v>1</v>
      </c>
      <c r="J15" s="30"/>
      <c r="K15" s="31"/>
      <c r="L15" s="31"/>
      <c r="M15" s="23">
        <f t="shared" si="3"/>
        <v>0</v>
      </c>
      <c r="N15" s="30"/>
      <c r="O15" s="31"/>
      <c r="P15" s="31"/>
      <c r="Q15" s="23">
        <f t="shared" si="4"/>
        <v>0</v>
      </c>
      <c r="R15" s="30"/>
      <c r="S15" s="31"/>
      <c r="T15" s="31"/>
      <c r="U15" s="23">
        <f t="shared" si="5"/>
        <v>0</v>
      </c>
      <c r="V15" s="24">
        <f t="shared" si="6"/>
        <v>1</v>
      </c>
      <c r="W15" s="25" t="s">
        <v>22</v>
      </c>
      <c r="X15" s="25"/>
      <c r="Y15" s="59" t="s">
        <v>1</v>
      </c>
      <c r="Z15" s="60">
        <f>B85</f>
        <v>4</v>
      </c>
      <c r="AA15" s="60">
        <f>F85</f>
        <v>4</v>
      </c>
      <c r="AB15" s="60">
        <f>J85</f>
        <v>5</v>
      </c>
      <c r="AC15" s="60">
        <f>N85</f>
        <v>5</v>
      </c>
      <c r="AD15" s="60">
        <f>R85</f>
        <v>7</v>
      </c>
      <c r="AE15" s="61">
        <f t="shared" ref="AE15:AE18" si="7">sum(Z15:AD15)</f>
        <v>25</v>
      </c>
    </row>
    <row r="16">
      <c r="A16" s="26" t="s">
        <v>38</v>
      </c>
      <c r="B16" s="30"/>
      <c r="C16" s="31"/>
      <c r="D16" s="31"/>
      <c r="E16" s="23">
        <f t="shared" si="1"/>
        <v>0</v>
      </c>
      <c r="F16" s="30"/>
      <c r="G16" s="31"/>
      <c r="H16" s="31"/>
      <c r="I16" s="23">
        <f t="shared" si="2"/>
        <v>0</v>
      </c>
      <c r="J16" s="30"/>
      <c r="K16" s="31"/>
      <c r="L16" s="31"/>
      <c r="M16" s="23">
        <f t="shared" si="3"/>
        <v>0</v>
      </c>
      <c r="N16" s="30"/>
      <c r="O16" s="31"/>
      <c r="P16" s="31"/>
      <c r="Q16" s="23">
        <f t="shared" si="4"/>
        <v>0</v>
      </c>
      <c r="R16" s="30"/>
      <c r="S16" s="31"/>
      <c r="T16" s="31"/>
      <c r="U16" s="23">
        <f t="shared" si="5"/>
        <v>0</v>
      </c>
      <c r="V16" s="24">
        <f t="shared" si="6"/>
        <v>0</v>
      </c>
      <c r="W16" s="25" t="s">
        <v>8</v>
      </c>
      <c r="X16" s="49"/>
      <c r="Y16" s="59" t="s">
        <v>39</v>
      </c>
      <c r="Z16" s="60">
        <f>C85</f>
        <v>0</v>
      </c>
      <c r="AA16" s="60">
        <f>G85</f>
        <v>0</v>
      </c>
      <c r="AB16" s="60">
        <f>K85</f>
        <v>0</v>
      </c>
      <c r="AC16" s="62">
        <f>O85</f>
        <v>0</v>
      </c>
      <c r="AD16" s="62">
        <f>S85</f>
        <v>0</v>
      </c>
      <c r="AE16" s="61">
        <f t="shared" si="7"/>
        <v>0</v>
      </c>
    </row>
    <row r="17">
      <c r="A17" s="26" t="s">
        <v>40</v>
      </c>
      <c r="B17" s="38"/>
      <c r="C17" s="31"/>
      <c r="D17" s="31"/>
      <c r="E17" s="23">
        <f t="shared" si="1"/>
        <v>0</v>
      </c>
      <c r="F17" s="30"/>
      <c r="G17" s="31"/>
      <c r="H17" s="31"/>
      <c r="I17" s="23">
        <f t="shared" si="2"/>
        <v>0</v>
      </c>
      <c r="J17" s="30"/>
      <c r="K17" s="31"/>
      <c r="L17" s="31"/>
      <c r="M17" s="23">
        <f t="shared" si="3"/>
        <v>0</v>
      </c>
      <c r="N17" s="30"/>
      <c r="O17" s="31"/>
      <c r="P17" s="31"/>
      <c r="Q17" s="23">
        <f t="shared" si="4"/>
        <v>0</v>
      </c>
      <c r="R17" s="30"/>
      <c r="S17" s="31"/>
      <c r="T17" s="31"/>
      <c r="U17" s="23">
        <f t="shared" si="5"/>
        <v>0</v>
      </c>
      <c r="V17" s="24">
        <f t="shared" si="6"/>
        <v>0</v>
      </c>
      <c r="W17" s="25" t="s">
        <v>22</v>
      </c>
      <c r="X17" s="49"/>
      <c r="Y17" s="59" t="s">
        <v>41</v>
      </c>
      <c r="Z17" s="60">
        <f>B86</f>
        <v>0</v>
      </c>
      <c r="AA17" s="65">
        <f>F86</f>
        <v>0</v>
      </c>
      <c r="AB17" s="60">
        <f>J86</f>
        <v>0</v>
      </c>
      <c r="AC17" s="62">
        <f>N86</f>
        <v>5</v>
      </c>
      <c r="AD17" s="62">
        <f>R86</f>
        <v>2</v>
      </c>
      <c r="AE17" s="66">
        <f t="shared" si="7"/>
        <v>7</v>
      </c>
    </row>
    <row r="18">
      <c r="A18" s="26" t="s">
        <v>42</v>
      </c>
      <c r="B18" s="30"/>
      <c r="C18" s="31"/>
      <c r="D18" s="31"/>
      <c r="E18" s="23">
        <f t="shared" si="1"/>
        <v>0</v>
      </c>
      <c r="F18" s="30"/>
      <c r="G18" s="31"/>
      <c r="H18" s="31"/>
      <c r="I18" s="23">
        <f t="shared" si="2"/>
        <v>0</v>
      </c>
      <c r="J18" s="30"/>
      <c r="K18" s="31"/>
      <c r="L18" s="31"/>
      <c r="M18" s="23">
        <f t="shared" si="3"/>
        <v>0</v>
      </c>
      <c r="N18" s="30"/>
      <c r="O18" s="31"/>
      <c r="P18" s="31"/>
      <c r="Q18" s="23">
        <f t="shared" si="4"/>
        <v>0</v>
      </c>
      <c r="R18" s="30"/>
      <c r="S18" s="31"/>
      <c r="T18" s="31"/>
      <c r="U18" s="23">
        <f t="shared" si="5"/>
        <v>0</v>
      </c>
      <c r="V18" s="24">
        <f t="shared" si="6"/>
        <v>0</v>
      </c>
      <c r="W18" s="25" t="s">
        <v>22</v>
      </c>
      <c r="X18" s="49"/>
      <c r="Y18" s="67" t="s">
        <v>43</v>
      </c>
      <c r="Z18" s="68">
        <f t="shared" ref="Z18:AD18" si="8">sum(Z15:Z17)</f>
        <v>4</v>
      </c>
      <c r="AA18" s="68">
        <f t="shared" si="8"/>
        <v>4</v>
      </c>
      <c r="AB18" s="68">
        <f t="shared" si="8"/>
        <v>5</v>
      </c>
      <c r="AC18" s="68">
        <f t="shared" si="8"/>
        <v>10</v>
      </c>
      <c r="AD18" s="69">
        <f t="shared" si="8"/>
        <v>9</v>
      </c>
      <c r="AE18" s="68">
        <f t="shared" si="7"/>
        <v>32</v>
      </c>
    </row>
    <row r="19">
      <c r="A19" s="26" t="s">
        <v>44</v>
      </c>
      <c r="B19" s="30"/>
      <c r="C19" s="31"/>
      <c r="D19" s="31"/>
      <c r="E19" s="23">
        <f t="shared" si="1"/>
        <v>0</v>
      </c>
      <c r="F19" s="30"/>
      <c r="G19" s="31"/>
      <c r="H19" s="31"/>
      <c r="I19" s="23">
        <f t="shared" si="2"/>
        <v>0</v>
      </c>
      <c r="J19" s="30"/>
      <c r="K19" s="31"/>
      <c r="L19" s="31"/>
      <c r="M19" s="23">
        <f t="shared" si="3"/>
        <v>0</v>
      </c>
      <c r="N19" s="30"/>
      <c r="O19" s="31"/>
      <c r="P19" s="31"/>
      <c r="Q19" s="23">
        <f t="shared" si="4"/>
        <v>0</v>
      </c>
      <c r="R19" s="30"/>
      <c r="S19" s="31"/>
      <c r="T19" s="31"/>
      <c r="U19" s="23">
        <f t="shared" si="5"/>
        <v>0</v>
      </c>
      <c r="V19" s="24">
        <f t="shared" si="6"/>
        <v>0</v>
      </c>
      <c r="W19" s="25" t="s">
        <v>22</v>
      </c>
      <c r="X19" s="25"/>
      <c r="Y19" s="49"/>
      <c r="Z19" s="49"/>
    </row>
    <row r="20">
      <c r="A20" s="70" t="s">
        <v>45</v>
      </c>
      <c r="B20" s="30"/>
      <c r="C20" s="31"/>
      <c r="D20" s="31"/>
      <c r="E20" s="23">
        <f t="shared" si="1"/>
        <v>0</v>
      </c>
      <c r="F20" s="30"/>
      <c r="G20" s="31"/>
      <c r="H20" s="31"/>
      <c r="I20" s="23">
        <f t="shared" si="2"/>
        <v>0</v>
      </c>
      <c r="J20" s="30"/>
      <c r="K20" s="31"/>
      <c r="L20" s="31"/>
      <c r="M20" s="23">
        <f t="shared" si="3"/>
        <v>0</v>
      </c>
      <c r="N20" s="30"/>
      <c r="O20" s="31"/>
      <c r="P20" s="31"/>
      <c r="Q20" s="23">
        <f t="shared" si="4"/>
        <v>0</v>
      </c>
      <c r="R20" s="30"/>
      <c r="S20" s="31"/>
      <c r="T20" s="31"/>
      <c r="U20" s="23">
        <f t="shared" si="5"/>
        <v>0</v>
      </c>
      <c r="V20" s="24">
        <f t="shared" si="6"/>
        <v>0</v>
      </c>
      <c r="W20" s="25" t="s">
        <v>22</v>
      </c>
      <c r="X20" s="49"/>
      <c r="Y20" s="49"/>
      <c r="Z20" s="49"/>
    </row>
    <row r="21">
      <c r="A21" s="26" t="s">
        <v>46</v>
      </c>
      <c r="B21" s="30"/>
      <c r="C21" s="31"/>
      <c r="D21" s="31"/>
      <c r="E21" s="23">
        <f t="shared" si="1"/>
        <v>0</v>
      </c>
      <c r="F21" s="30"/>
      <c r="G21" s="31"/>
      <c r="H21" s="31"/>
      <c r="I21" s="23">
        <f t="shared" si="2"/>
        <v>0</v>
      </c>
      <c r="J21" s="30"/>
      <c r="K21" s="31"/>
      <c r="L21" s="31"/>
      <c r="M21" s="23">
        <f t="shared" si="3"/>
        <v>0</v>
      </c>
      <c r="N21" s="30"/>
      <c r="O21" s="31"/>
      <c r="P21" s="31"/>
      <c r="Q21" s="23">
        <f t="shared" si="4"/>
        <v>0</v>
      </c>
      <c r="R21" s="30"/>
      <c r="S21" s="31"/>
      <c r="T21" s="31"/>
      <c r="U21" s="23">
        <f t="shared" si="5"/>
        <v>0</v>
      </c>
      <c r="V21" s="24">
        <f t="shared" si="6"/>
        <v>0</v>
      </c>
      <c r="W21" s="25" t="s">
        <v>23</v>
      </c>
      <c r="X21" s="25"/>
      <c r="Y21" s="71" t="s">
        <v>47</v>
      </c>
      <c r="Z21" s="72"/>
      <c r="AA21" s="72"/>
      <c r="AB21" s="72"/>
      <c r="AC21" s="73"/>
    </row>
    <row r="22">
      <c r="A22" s="26" t="s">
        <v>48</v>
      </c>
      <c r="B22" s="30"/>
      <c r="C22" s="31"/>
      <c r="D22" s="31"/>
      <c r="E22" s="23">
        <f t="shared" si="1"/>
        <v>0</v>
      </c>
      <c r="F22" s="30"/>
      <c r="G22" s="31"/>
      <c r="H22" s="31"/>
      <c r="I22" s="23">
        <f t="shared" si="2"/>
        <v>0</v>
      </c>
      <c r="J22" s="30"/>
      <c r="K22" s="31"/>
      <c r="L22" s="31"/>
      <c r="M22" s="23">
        <f t="shared" si="3"/>
        <v>0</v>
      </c>
      <c r="N22" s="30"/>
      <c r="O22" s="31"/>
      <c r="P22" s="31"/>
      <c r="Q22" s="23">
        <f t="shared" si="4"/>
        <v>0</v>
      </c>
      <c r="R22" s="30"/>
      <c r="S22" s="31"/>
      <c r="T22" s="31"/>
      <c r="U22" s="23">
        <f t="shared" si="5"/>
        <v>0</v>
      </c>
      <c r="V22" s="24">
        <f t="shared" si="6"/>
        <v>0</v>
      </c>
      <c r="W22" s="25" t="s">
        <v>22</v>
      </c>
      <c r="X22" s="49"/>
      <c r="Y22" s="74" t="s">
        <v>49</v>
      </c>
      <c r="Z22" s="75" t="s">
        <v>50</v>
      </c>
      <c r="AA22" s="75" t="s">
        <v>51</v>
      </c>
      <c r="AB22" s="75" t="s">
        <v>2</v>
      </c>
      <c r="AC22" s="75" t="s">
        <v>41</v>
      </c>
    </row>
    <row r="23">
      <c r="A23" s="70" t="s">
        <v>52</v>
      </c>
      <c r="B23" s="30"/>
      <c r="C23" s="31"/>
      <c r="D23" s="31"/>
      <c r="E23" s="23">
        <f t="shared" si="1"/>
        <v>0</v>
      </c>
      <c r="F23" s="30"/>
      <c r="G23" s="31"/>
      <c r="H23" s="31"/>
      <c r="I23" s="23">
        <f t="shared" si="2"/>
        <v>0</v>
      </c>
      <c r="J23" s="30"/>
      <c r="K23" s="31"/>
      <c r="L23" s="31"/>
      <c r="M23" s="23">
        <f t="shared" si="3"/>
        <v>0</v>
      </c>
      <c r="N23" s="38">
        <v>1.0</v>
      </c>
      <c r="O23" s="31"/>
      <c r="P23" s="64">
        <v>1.0</v>
      </c>
      <c r="Q23" s="23">
        <f t="shared" si="4"/>
        <v>2</v>
      </c>
      <c r="R23" s="30"/>
      <c r="S23" s="31"/>
      <c r="T23" s="31"/>
      <c r="U23" s="23">
        <f t="shared" si="5"/>
        <v>0</v>
      </c>
      <c r="V23" s="24">
        <f t="shared" si="6"/>
        <v>2</v>
      </c>
      <c r="W23" s="25" t="s">
        <v>8</v>
      </c>
      <c r="X23" s="49"/>
      <c r="Y23" s="76">
        <v>45179.0</v>
      </c>
      <c r="Z23" s="77"/>
      <c r="AA23" s="77"/>
      <c r="AB23" s="78" t="b">
        <v>0</v>
      </c>
      <c r="AC23" s="79" t="b">
        <v>0</v>
      </c>
    </row>
    <row r="24">
      <c r="A24" s="26" t="s">
        <v>53</v>
      </c>
      <c r="B24" s="30"/>
      <c r="C24" s="31"/>
      <c r="D24" s="31"/>
      <c r="E24" s="23">
        <f t="shared" si="1"/>
        <v>0</v>
      </c>
      <c r="F24" s="30"/>
      <c r="G24" s="31"/>
      <c r="H24" s="31"/>
      <c r="I24" s="23">
        <f t="shared" si="2"/>
        <v>0</v>
      </c>
      <c r="J24" s="30"/>
      <c r="K24" s="31"/>
      <c r="L24" s="31"/>
      <c r="M24" s="23">
        <f t="shared" si="3"/>
        <v>0</v>
      </c>
      <c r="N24" s="30"/>
      <c r="O24" s="31"/>
      <c r="P24" s="31"/>
      <c r="Q24" s="23">
        <f t="shared" si="4"/>
        <v>0</v>
      </c>
      <c r="R24" s="30"/>
      <c r="S24" s="31"/>
      <c r="T24" s="31"/>
      <c r="U24" s="23">
        <f t="shared" si="5"/>
        <v>0</v>
      </c>
      <c r="V24" s="24">
        <f t="shared" si="6"/>
        <v>0</v>
      </c>
      <c r="W24" s="25" t="s">
        <v>8</v>
      </c>
      <c r="X24" s="49"/>
      <c r="Y24" s="76">
        <v>45210.0</v>
      </c>
      <c r="Z24" s="77"/>
      <c r="AA24" s="77"/>
      <c r="AB24" s="80" t="b">
        <v>0</v>
      </c>
      <c r="AC24" s="81" t="b">
        <v>0</v>
      </c>
    </row>
    <row r="25">
      <c r="A25" s="26" t="s">
        <v>54</v>
      </c>
      <c r="B25" s="30"/>
      <c r="C25" s="31"/>
      <c r="D25" s="31"/>
      <c r="E25" s="23">
        <f t="shared" si="1"/>
        <v>0</v>
      </c>
      <c r="F25" s="30"/>
      <c r="G25" s="31"/>
      <c r="H25" s="31"/>
      <c r="I25" s="23">
        <f t="shared" si="2"/>
        <v>0</v>
      </c>
      <c r="J25" s="30"/>
      <c r="K25" s="31"/>
      <c r="L25" s="31"/>
      <c r="M25" s="23">
        <f t="shared" si="3"/>
        <v>0</v>
      </c>
      <c r="N25" s="30"/>
      <c r="O25" s="31"/>
      <c r="P25" s="31"/>
      <c r="Q25" s="23">
        <f t="shared" si="4"/>
        <v>0</v>
      </c>
      <c r="R25" s="30"/>
      <c r="S25" s="31"/>
      <c r="T25" s="31"/>
      <c r="U25" s="23">
        <f t="shared" si="5"/>
        <v>0</v>
      </c>
      <c r="V25" s="24">
        <f t="shared" si="6"/>
        <v>0</v>
      </c>
      <c r="W25" s="25" t="s">
        <v>8</v>
      </c>
      <c r="X25" s="49"/>
      <c r="Y25" s="76">
        <v>45242.0</v>
      </c>
      <c r="Z25" s="77"/>
      <c r="AA25" s="77"/>
      <c r="AB25" s="80" t="b">
        <v>0</v>
      </c>
      <c r="AC25" s="81" t="b">
        <v>0</v>
      </c>
    </row>
    <row r="26">
      <c r="A26" s="26" t="s">
        <v>55</v>
      </c>
      <c r="B26" s="30"/>
      <c r="C26" s="31"/>
      <c r="D26" s="31"/>
      <c r="E26" s="23">
        <f t="shared" si="1"/>
        <v>0</v>
      </c>
      <c r="F26" s="30"/>
      <c r="G26" s="31"/>
      <c r="H26" s="31"/>
      <c r="I26" s="23">
        <f t="shared" si="2"/>
        <v>0</v>
      </c>
      <c r="J26" s="38">
        <v>2.0</v>
      </c>
      <c r="K26" s="31"/>
      <c r="L26" s="31"/>
      <c r="M26" s="23">
        <f t="shared" si="3"/>
        <v>2</v>
      </c>
      <c r="N26" s="30"/>
      <c r="O26" s="31"/>
      <c r="P26" s="31"/>
      <c r="Q26" s="23">
        <f t="shared" si="4"/>
        <v>0</v>
      </c>
      <c r="R26" s="30"/>
      <c r="S26" s="31"/>
      <c r="T26" s="31"/>
      <c r="U26" s="23">
        <f t="shared" si="5"/>
        <v>0</v>
      </c>
      <c r="V26" s="24">
        <f t="shared" si="6"/>
        <v>2</v>
      </c>
      <c r="W26" s="25" t="s">
        <v>22</v>
      </c>
      <c r="Y26" s="76">
        <v>45261.0</v>
      </c>
      <c r="Z26" s="77"/>
      <c r="AA26" s="77"/>
      <c r="AB26" s="80" t="b">
        <v>0</v>
      </c>
      <c r="AC26" s="81" t="b">
        <v>0</v>
      </c>
    </row>
    <row r="27">
      <c r="A27" s="26" t="s">
        <v>56</v>
      </c>
      <c r="B27" s="30"/>
      <c r="C27" s="31"/>
      <c r="D27" s="31"/>
      <c r="E27" s="23">
        <f t="shared" si="1"/>
        <v>0</v>
      </c>
      <c r="F27" s="30"/>
      <c r="G27" s="31"/>
      <c r="H27" s="31"/>
      <c r="I27" s="23">
        <f t="shared" si="2"/>
        <v>0</v>
      </c>
      <c r="J27" s="30"/>
      <c r="K27" s="31"/>
      <c r="L27" s="31"/>
      <c r="M27" s="23">
        <f t="shared" si="3"/>
        <v>0</v>
      </c>
      <c r="N27" s="30"/>
      <c r="O27" s="31"/>
      <c r="P27" s="64">
        <v>1.0</v>
      </c>
      <c r="Q27" s="23">
        <f t="shared" si="4"/>
        <v>1</v>
      </c>
      <c r="R27" s="30"/>
      <c r="S27" s="31"/>
      <c r="T27" s="31"/>
      <c r="U27" s="23">
        <f t="shared" si="5"/>
        <v>0</v>
      </c>
      <c r="V27" s="24">
        <f t="shared" si="6"/>
        <v>1</v>
      </c>
      <c r="W27" s="25" t="s">
        <v>8</v>
      </c>
      <c r="Y27" s="76">
        <v>44928.0</v>
      </c>
      <c r="Z27" s="77"/>
      <c r="AA27" s="77"/>
      <c r="AB27" s="80" t="b">
        <v>0</v>
      </c>
      <c r="AC27" s="81" t="b">
        <v>0</v>
      </c>
    </row>
    <row r="28">
      <c r="A28" s="70" t="s">
        <v>57</v>
      </c>
      <c r="B28" s="30"/>
      <c r="C28" s="31"/>
      <c r="D28" s="31"/>
      <c r="E28" s="23">
        <f t="shared" si="1"/>
        <v>0</v>
      </c>
      <c r="F28" s="30"/>
      <c r="G28" s="31"/>
      <c r="H28" s="31"/>
      <c r="I28" s="23">
        <f t="shared" si="2"/>
        <v>0</v>
      </c>
      <c r="J28" s="30"/>
      <c r="K28" s="31"/>
      <c r="L28" s="31"/>
      <c r="M28" s="23">
        <f t="shared" si="3"/>
        <v>0</v>
      </c>
      <c r="N28" s="30"/>
      <c r="O28" s="31"/>
      <c r="P28" s="31"/>
      <c r="Q28" s="23">
        <f t="shared" si="4"/>
        <v>0</v>
      </c>
      <c r="R28" s="30"/>
      <c r="S28" s="31"/>
      <c r="T28" s="31"/>
      <c r="U28" s="23">
        <f t="shared" si="5"/>
        <v>0</v>
      </c>
      <c r="V28" s="24">
        <f t="shared" si="6"/>
        <v>0</v>
      </c>
      <c r="W28" s="25" t="s">
        <v>8</v>
      </c>
      <c r="X28" s="49"/>
      <c r="Y28" s="76">
        <v>44960.0</v>
      </c>
      <c r="Z28" s="77"/>
      <c r="AA28" s="77"/>
      <c r="AB28" s="80" t="b">
        <v>0</v>
      </c>
      <c r="AC28" s="81" t="b">
        <v>0</v>
      </c>
    </row>
    <row r="29">
      <c r="A29" s="26" t="s">
        <v>58</v>
      </c>
      <c r="B29" s="30"/>
      <c r="C29" s="31"/>
      <c r="D29" s="31"/>
      <c r="E29" s="23">
        <f t="shared" si="1"/>
        <v>0</v>
      </c>
      <c r="F29" s="30"/>
      <c r="G29" s="31"/>
      <c r="H29" s="31"/>
      <c r="I29" s="23">
        <f t="shared" si="2"/>
        <v>0</v>
      </c>
      <c r="J29" s="30"/>
      <c r="K29" s="31"/>
      <c r="L29" s="31"/>
      <c r="M29" s="23">
        <f t="shared" si="3"/>
        <v>0</v>
      </c>
      <c r="N29" s="30"/>
      <c r="O29" s="31"/>
      <c r="P29" s="31"/>
      <c r="Q29" s="23">
        <f t="shared" si="4"/>
        <v>0</v>
      </c>
      <c r="R29" s="30"/>
      <c r="S29" s="31"/>
      <c r="T29" s="31"/>
      <c r="U29" s="23">
        <f t="shared" si="5"/>
        <v>0</v>
      </c>
      <c r="V29" s="24">
        <f t="shared" si="6"/>
        <v>0</v>
      </c>
      <c r="W29" s="25" t="s">
        <v>8</v>
      </c>
      <c r="X29" s="49"/>
      <c r="Y29" s="76">
        <v>44989.0</v>
      </c>
      <c r="Z29" s="77"/>
      <c r="AA29" s="77"/>
      <c r="AB29" s="80" t="b">
        <v>0</v>
      </c>
      <c r="AC29" s="81" t="b">
        <v>0</v>
      </c>
    </row>
    <row r="30">
      <c r="A30" s="26" t="s">
        <v>59</v>
      </c>
      <c r="B30" s="30"/>
      <c r="C30" s="31"/>
      <c r="D30" s="31"/>
      <c r="E30" s="23">
        <f t="shared" si="1"/>
        <v>0</v>
      </c>
      <c r="F30" s="30"/>
      <c r="G30" s="31"/>
      <c r="H30" s="31"/>
      <c r="I30" s="23">
        <f t="shared" si="2"/>
        <v>0</v>
      </c>
      <c r="J30" s="30"/>
      <c r="K30" s="31"/>
      <c r="L30" s="31"/>
      <c r="M30" s="23">
        <f t="shared" si="3"/>
        <v>0</v>
      </c>
      <c r="N30" s="30"/>
      <c r="O30" s="31"/>
      <c r="P30" s="64">
        <v>1.0</v>
      </c>
      <c r="Q30" s="23">
        <f t="shared" si="4"/>
        <v>1</v>
      </c>
      <c r="R30" s="30"/>
      <c r="S30" s="31"/>
      <c r="T30" s="64">
        <v>1.0</v>
      </c>
      <c r="U30" s="23">
        <f t="shared" si="5"/>
        <v>1</v>
      </c>
      <c r="V30" s="24">
        <f t="shared" si="6"/>
        <v>2</v>
      </c>
      <c r="W30" s="25" t="s">
        <v>25</v>
      </c>
      <c r="X30" s="49"/>
      <c r="Y30" s="49"/>
      <c r="Z30" s="49"/>
      <c r="AA30" s="49"/>
      <c r="AB30" s="49"/>
      <c r="AC30" s="49"/>
    </row>
    <row r="31">
      <c r="A31" s="70" t="s">
        <v>60</v>
      </c>
      <c r="B31" s="30"/>
      <c r="C31" s="31"/>
      <c r="D31" s="31"/>
      <c r="E31" s="23">
        <f t="shared" si="1"/>
        <v>0</v>
      </c>
      <c r="F31" s="30"/>
      <c r="G31" s="31"/>
      <c r="H31" s="31"/>
      <c r="I31" s="23">
        <f t="shared" si="2"/>
        <v>0</v>
      </c>
      <c r="J31" s="30"/>
      <c r="K31" s="31"/>
      <c r="L31" s="31"/>
      <c r="M31" s="23">
        <f t="shared" si="3"/>
        <v>0</v>
      </c>
      <c r="N31" s="30"/>
      <c r="O31" s="31"/>
      <c r="P31" s="31"/>
      <c r="Q31" s="23">
        <f t="shared" si="4"/>
        <v>0</v>
      </c>
      <c r="R31" s="30"/>
      <c r="S31" s="31"/>
      <c r="T31" s="31"/>
      <c r="U31" s="23">
        <f t="shared" si="5"/>
        <v>0</v>
      </c>
      <c r="V31" s="24">
        <f t="shared" si="6"/>
        <v>0</v>
      </c>
      <c r="W31" s="25" t="s">
        <v>22</v>
      </c>
      <c r="X31" s="49"/>
      <c r="Y31" s="82"/>
      <c r="Z31" s="82"/>
      <c r="AA31" s="82"/>
      <c r="AB31" s="82"/>
      <c r="AC31" s="82"/>
    </row>
    <row r="32">
      <c r="A32" s="26" t="s">
        <v>61</v>
      </c>
      <c r="B32" s="30"/>
      <c r="C32" s="31"/>
      <c r="D32" s="31"/>
      <c r="E32" s="23">
        <f t="shared" si="1"/>
        <v>0</v>
      </c>
      <c r="F32" s="30"/>
      <c r="G32" s="31"/>
      <c r="H32" s="31"/>
      <c r="I32" s="23">
        <f t="shared" si="2"/>
        <v>0</v>
      </c>
      <c r="J32" s="30"/>
      <c r="K32" s="31"/>
      <c r="L32" s="31"/>
      <c r="M32" s="23">
        <f t="shared" si="3"/>
        <v>0</v>
      </c>
      <c r="N32" s="30"/>
      <c r="O32" s="31"/>
      <c r="P32" s="31"/>
      <c r="Q32" s="23">
        <f t="shared" si="4"/>
        <v>0</v>
      </c>
      <c r="R32" s="30"/>
      <c r="S32" s="31"/>
      <c r="T32" s="31"/>
      <c r="U32" s="23">
        <f t="shared" si="5"/>
        <v>0</v>
      </c>
      <c r="V32" s="24">
        <f t="shared" si="6"/>
        <v>0</v>
      </c>
      <c r="W32" s="25" t="s">
        <v>8</v>
      </c>
      <c r="X32" s="49"/>
      <c r="Y32" s="83" t="s">
        <v>62</v>
      </c>
      <c r="Z32" s="84"/>
      <c r="AA32" s="84"/>
      <c r="AB32" s="84"/>
      <c r="AC32" s="85"/>
    </row>
    <row r="33">
      <c r="A33" s="26" t="s">
        <v>63</v>
      </c>
      <c r="B33" s="30"/>
      <c r="C33" s="31"/>
      <c r="D33" s="31"/>
      <c r="E33" s="23">
        <f t="shared" si="1"/>
        <v>0</v>
      </c>
      <c r="F33" s="38"/>
      <c r="G33" s="31"/>
      <c r="H33" s="31"/>
      <c r="I33" s="23">
        <f t="shared" si="2"/>
        <v>0</v>
      </c>
      <c r="J33" s="30"/>
      <c r="K33" s="31"/>
      <c r="L33" s="31"/>
      <c r="M33" s="23">
        <f t="shared" si="3"/>
        <v>0</v>
      </c>
      <c r="N33" s="38">
        <v>1.0</v>
      </c>
      <c r="O33" s="31"/>
      <c r="P33" s="31"/>
      <c r="Q33" s="23">
        <f t="shared" si="4"/>
        <v>1</v>
      </c>
      <c r="R33" s="30"/>
      <c r="S33" s="31"/>
      <c r="T33" s="31"/>
      <c r="U33" s="23">
        <f t="shared" si="5"/>
        <v>0</v>
      </c>
      <c r="V33" s="24">
        <f t="shared" si="6"/>
        <v>1</v>
      </c>
      <c r="W33" s="25" t="s">
        <v>8</v>
      </c>
      <c r="X33" s="49"/>
      <c r="Y33" s="74" t="s">
        <v>49</v>
      </c>
      <c r="Z33" s="75" t="s">
        <v>50</v>
      </c>
      <c r="AA33" s="75" t="s">
        <v>64</v>
      </c>
      <c r="AB33" s="75" t="s">
        <v>2</v>
      </c>
      <c r="AC33" s="75" t="s">
        <v>41</v>
      </c>
    </row>
    <row r="34">
      <c r="A34" s="26" t="s">
        <v>65</v>
      </c>
      <c r="B34" s="30"/>
      <c r="C34" s="31"/>
      <c r="D34" s="31"/>
      <c r="E34" s="23">
        <f t="shared" si="1"/>
        <v>0</v>
      </c>
      <c r="F34" s="30"/>
      <c r="G34" s="31"/>
      <c r="H34" s="31"/>
      <c r="I34" s="23">
        <f t="shared" si="2"/>
        <v>0</v>
      </c>
      <c r="J34" s="30"/>
      <c r="K34" s="31"/>
      <c r="L34" s="31"/>
      <c r="M34" s="23">
        <f t="shared" si="3"/>
        <v>0</v>
      </c>
      <c r="N34" s="30"/>
      <c r="O34" s="31"/>
      <c r="P34" s="31"/>
      <c r="Q34" s="23">
        <f t="shared" si="4"/>
        <v>0</v>
      </c>
      <c r="R34" s="30"/>
      <c r="S34" s="31"/>
      <c r="T34" s="31"/>
      <c r="U34" s="23">
        <f t="shared" si="5"/>
        <v>0</v>
      </c>
      <c r="V34" s="24">
        <f t="shared" si="6"/>
        <v>0</v>
      </c>
      <c r="W34" s="25" t="s">
        <v>8</v>
      </c>
      <c r="X34" s="49"/>
      <c r="Y34" s="76">
        <v>45179.0</v>
      </c>
      <c r="Z34" s="77"/>
      <c r="AA34" s="77"/>
      <c r="AB34" s="78" t="b">
        <v>0</v>
      </c>
      <c r="AC34" s="79" t="b">
        <v>0</v>
      </c>
    </row>
    <row r="35">
      <c r="A35" s="26" t="s">
        <v>66</v>
      </c>
      <c r="B35" s="30"/>
      <c r="C35" s="31"/>
      <c r="D35" s="31"/>
      <c r="E35" s="23">
        <f t="shared" si="1"/>
        <v>0</v>
      </c>
      <c r="F35" s="30"/>
      <c r="G35" s="31"/>
      <c r="H35" s="31"/>
      <c r="I35" s="23">
        <f t="shared" si="2"/>
        <v>0</v>
      </c>
      <c r="J35" s="30"/>
      <c r="K35" s="31"/>
      <c r="L35" s="31"/>
      <c r="M35" s="23">
        <f t="shared" si="3"/>
        <v>0</v>
      </c>
      <c r="N35" s="30"/>
      <c r="O35" s="31"/>
      <c r="P35" s="64">
        <v>1.0</v>
      </c>
      <c r="Q35" s="23">
        <f t="shared" si="4"/>
        <v>1</v>
      </c>
      <c r="R35" s="38">
        <v>1.0</v>
      </c>
      <c r="S35" s="31"/>
      <c r="T35" s="31"/>
      <c r="U35" s="23">
        <f t="shared" si="5"/>
        <v>1</v>
      </c>
      <c r="V35" s="24">
        <f t="shared" si="6"/>
        <v>2</v>
      </c>
      <c r="W35" s="25" t="s">
        <v>8</v>
      </c>
      <c r="X35" s="49"/>
      <c r="Y35" s="76">
        <v>45210.0</v>
      </c>
      <c r="Z35" s="77"/>
      <c r="AA35" s="77"/>
      <c r="AB35" s="80" t="b">
        <v>0</v>
      </c>
      <c r="AC35" s="81" t="b">
        <v>0</v>
      </c>
    </row>
    <row r="36">
      <c r="A36" s="26" t="s">
        <v>67</v>
      </c>
      <c r="B36" s="38">
        <v>1.0</v>
      </c>
      <c r="C36" s="31"/>
      <c r="D36" s="31"/>
      <c r="E36" s="23">
        <f t="shared" si="1"/>
        <v>1</v>
      </c>
      <c r="F36" s="38"/>
      <c r="G36" s="31"/>
      <c r="H36" s="31"/>
      <c r="I36" s="23">
        <f t="shared" si="2"/>
        <v>0</v>
      </c>
      <c r="J36" s="38">
        <v>1.0</v>
      </c>
      <c r="K36" s="31"/>
      <c r="L36" s="31"/>
      <c r="M36" s="23">
        <f t="shared" si="3"/>
        <v>1</v>
      </c>
      <c r="N36" s="30"/>
      <c r="O36" s="31"/>
      <c r="P36" s="31"/>
      <c r="Q36" s="23">
        <f t="shared" si="4"/>
        <v>0</v>
      </c>
      <c r="R36" s="30"/>
      <c r="S36" s="31"/>
      <c r="T36" s="31"/>
      <c r="U36" s="23">
        <f t="shared" si="5"/>
        <v>0</v>
      </c>
      <c r="V36" s="24">
        <f t="shared" si="6"/>
        <v>2</v>
      </c>
      <c r="W36" s="25" t="s">
        <v>20</v>
      </c>
      <c r="X36" s="49"/>
      <c r="Y36" s="76">
        <v>45242.0</v>
      </c>
      <c r="Z36" s="77"/>
      <c r="AA36" s="77"/>
      <c r="AB36" s="80" t="b">
        <v>0</v>
      </c>
      <c r="AC36" s="81" t="b">
        <v>0</v>
      </c>
    </row>
    <row r="37">
      <c r="A37" s="26" t="s">
        <v>68</v>
      </c>
      <c r="B37" s="30"/>
      <c r="C37" s="31"/>
      <c r="D37" s="31"/>
      <c r="E37" s="23">
        <f t="shared" si="1"/>
        <v>0</v>
      </c>
      <c r="F37" s="30"/>
      <c r="G37" s="31"/>
      <c r="H37" s="31"/>
      <c r="I37" s="23">
        <f t="shared" si="2"/>
        <v>0</v>
      </c>
      <c r="J37" s="30"/>
      <c r="K37" s="31"/>
      <c r="L37" s="31"/>
      <c r="M37" s="23">
        <f t="shared" si="3"/>
        <v>0</v>
      </c>
      <c r="N37" s="30"/>
      <c r="O37" s="31"/>
      <c r="P37" s="31"/>
      <c r="Q37" s="23">
        <f t="shared" si="4"/>
        <v>0</v>
      </c>
      <c r="R37" s="30"/>
      <c r="S37" s="31"/>
      <c r="T37" s="31"/>
      <c r="U37" s="23">
        <f t="shared" si="5"/>
        <v>0</v>
      </c>
      <c r="V37" s="24">
        <f t="shared" si="6"/>
        <v>0</v>
      </c>
      <c r="W37" s="25" t="s">
        <v>8</v>
      </c>
      <c r="X37" s="49"/>
      <c r="Y37" s="76">
        <v>45261.0</v>
      </c>
      <c r="Z37" s="77"/>
      <c r="AA37" s="77"/>
      <c r="AB37" s="80" t="b">
        <v>0</v>
      </c>
      <c r="AC37" s="81" t="b">
        <v>0</v>
      </c>
    </row>
    <row r="38">
      <c r="A38" s="26" t="s">
        <v>69</v>
      </c>
      <c r="B38" s="30"/>
      <c r="C38" s="31"/>
      <c r="D38" s="31"/>
      <c r="E38" s="23">
        <f t="shared" si="1"/>
        <v>0</v>
      </c>
      <c r="F38" s="30"/>
      <c r="G38" s="31"/>
      <c r="H38" s="31"/>
      <c r="I38" s="23">
        <f t="shared" si="2"/>
        <v>0</v>
      </c>
      <c r="J38" s="30"/>
      <c r="K38" s="31"/>
      <c r="L38" s="31"/>
      <c r="M38" s="23">
        <f t="shared" si="3"/>
        <v>0</v>
      </c>
      <c r="N38" s="30"/>
      <c r="O38" s="31"/>
      <c r="P38" s="31"/>
      <c r="Q38" s="23">
        <f t="shared" si="4"/>
        <v>0</v>
      </c>
      <c r="R38" s="30"/>
      <c r="S38" s="31"/>
      <c r="T38" s="31"/>
      <c r="U38" s="23">
        <f t="shared" si="5"/>
        <v>0</v>
      </c>
      <c r="V38" s="24">
        <f t="shared" si="6"/>
        <v>0</v>
      </c>
      <c r="W38" s="25" t="s">
        <v>8</v>
      </c>
      <c r="X38" s="49"/>
      <c r="Y38" s="76">
        <v>44928.0</v>
      </c>
      <c r="Z38" s="77"/>
      <c r="AA38" s="77"/>
      <c r="AB38" s="80" t="b">
        <v>0</v>
      </c>
      <c r="AC38" s="81" t="b">
        <v>0</v>
      </c>
    </row>
    <row r="39">
      <c r="A39" s="26" t="s">
        <v>70</v>
      </c>
      <c r="B39" s="30"/>
      <c r="C39" s="31"/>
      <c r="D39" s="31"/>
      <c r="E39" s="23">
        <f t="shared" si="1"/>
        <v>0</v>
      </c>
      <c r="F39" s="30"/>
      <c r="G39" s="31"/>
      <c r="H39" s="31"/>
      <c r="I39" s="23">
        <f t="shared" si="2"/>
        <v>0</v>
      </c>
      <c r="J39" s="30"/>
      <c r="K39" s="31"/>
      <c r="L39" s="31"/>
      <c r="M39" s="23">
        <f t="shared" si="3"/>
        <v>0</v>
      </c>
      <c r="N39" s="30"/>
      <c r="O39" s="31"/>
      <c r="P39" s="31"/>
      <c r="Q39" s="23">
        <f t="shared" si="4"/>
        <v>0</v>
      </c>
      <c r="R39" s="30"/>
      <c r="S39" s="31"/>
      <c r="T39" s="31"/>
      <c r="U39" s="23">
        <f t="shared" si="5"/>
        <v>0</v>
      </c>
      <c r="V39" s="24">
        <f t="shared" si="6"/>
        <v>0</v>
      </c>
      <c r="W39" s="25" t="s">
        <v>8</v>
      </c>
      <c r="X39" s="49"/>
      <c r="Y39" s="76">
        <v>44960.0</v>
      </c>
      <c r="Z39" s="77"/>
      <c r="AA39" s="77"/>
      <c r="AB39" s="80" t="b">
        <v>0</v>
      </c>
      <c r="AC39" s="81" t="b">
        <v>0</v>
      </c>
    </row>
    <row r="40">
      <c r="A40" s="26" t="s">
        <v>71</v>
      </c>
      <c r="B40" s="30"/>
      <c r="C40" s="31"/>
      <c r="D40" s="31"/>
      <c r="E40" s="23">
        <f t="shared" si="1"/>
        <v>0</v>
      </c>
      <c r="F40" s="30"/>
      <c r="G40" s="31"/>
      <c r="H40" s="31"/>
      <c r="I40" s="23">
        <f t="shared" si="2"/>
        <v>0</v>
      </c>
      <c r="J40" s="30"/>
      <c r="K40" s="31"/>
      <c r="L40" s="31"/>
      <c r="M40" s="23">
        <f t="shared" si="3"/>
        <v>0</v>
      </c>
      <c r="N40" s="30"/>
      <c r="O40" s="31"/>
      <c r="P40" s="31"/>
      <c r="Q40" s="23">
        <f t="shared" si="4"/>
        <v>0</v>
      </c>
      <c r="R40" s="30"/>
      <c r="S40" s="31"/>
      <c r="T40" s="31"/>
      <c r="U40" s="23">
        <f t="shared" si="5"/>
        <v>0</v>
      </c>
      <c r="V40" s="24">
        <f t="shared" si="6"/>
        <v>0</v>
      </c>
      <c r="W40" s="25" t="s">
        <v>8</v>
      </c>
      <c r="X40" s="49"/>
      <c r="Y40" s="76">
        <v>44989.0</v>
      </c>
      <c r="Z40" s="77"/>
      <c r="AA40" s="77"/>
      <c r="AB40" s="80" t="b">
        <v>0</v>
      </c>
      <c r="AC40" s="81" t="b">
        <v>0</v>
      </c>
    </row>
    <row r="41">
      <c r="A41" s="26" t="s">
        <v>72</v>
      </c>
      <c r="B41" s="30"/>
      <c r="C41" s="31"/>
      <c r="D41" s="31"/>
      <c r="E41" s="23">
        <f t="shared" si="1"/>
        <v>0</v>
      </c>
      <c r="F41" s="30"/>
      <c r="G41" s="31"/>
      <c r="H41" s="31"/>
      <c r="I41" s="23">
        <f t="shared" si="2"/>
        <v>0</v>
      </c>
      <c r="J41" s="30"/>
      <c r="K41" s="31"/>
      <c r="L41" s="31"/>
      <c r="M41" s="23">
        <f t="shared" si="3"/>
        <v>0</v>
      </c>
      <c r="N41" s="30"/>
      <c r="O41" s="31"/>
      <c r="P41" s="31"/>
      <c r="Q41" s="23">
        <f t="shared" si="4"/>
        <v>0</v>
      </c>
      <c r="R41" s="30"/>
      <c r="S41" s="31"/>
      <c r="T41" s="31"/>
      <c r="U41" s="23">
        <f t="shared" si="5"/>
        <v>0</v>
      </c>
      <c r="V41" s="24">
        <f t="shared" si="6"/>
        <v>0</v>
      </c>
      <c r="W41" s="25" t="s">
        <v>8</v>
      </c>
      <c r="X41" s="49"/>
      <c r="Y41" s="82"/>
      <c r="Z41" s="82"/>
      <c r="AA41" s="82"/>
      <c r="AB41" s="82"/>
      <c r="AC41" s="82"/>
    </row>
    <row r="42">
      <c r="A42" s="26" t="s">
        <v>73</v>
      </c>
      <c r="B42" s="30"/>
      <c r="C42" s="31"/>
      <c r="D42" s="31"/>
      <c r="E42" s="23">
        <f t="shared" si="1"/>
        <v>0</v>
      </c>
      <c r="F42" s="30"/>
      <c r="G42" s="31"/>
      <c r="H42" s="31"/>
      <c r="I42" s="23">
        <f t="shared" si="2"/>
        <v>0</v>
      </c>
      <c r="J42" s="30"/>
      <c r="K42" s="31"/>
      <c r="L42" s="31"/>
      <c r="M42" s="23">
        <f t="shared" si="3"/>
        <v>0</v>
      </c>
      <c r="N42" s="30"/>
      <c r="O42" s="31"/>
      <c r="P42" s="31"/>
      <c r="Q42" s="23">
        <f t="shared" si="4"/>
        <v>0</v>
      </c>
      <c r="R42" s="30"/>
      <c r="S42" s="31"/>
      <c r="T42" s="31"/>
      <c r="U42" s="23">
        <f t="shared" si="5"/>
        <v>0</v>
      </c>
      <c r="V42" s="24">
        <f t="shared" si="6"/>
        <v>0</v>
      </c>
      <c r="W42" s="25" t="s">
        <v>22</v>
      </c>
      <c r="X42" s="25"/>
      <c r="Y42" s="83" t="s">
        <v>74</v>
      </c>
      <c r="Z42" s="84"/>
      <c r="AA42" s="84"/>
      <c r="AB42" s="84"/>
      <c r="AC42" s="85"/>
    </row>
    <row r="43">
      <c r="A43" s="26" t="s">
        <v>75</v>
      </c>
      <c r="B43" s="30"/>
      <c r="C43" s="31"/>
      <c r="D43" s="31"/>
      <c r="E43" s="23">
        <f t="shared" si="1"/>
        <v>0</v>
      </c>
      <c r="F43" s="30"/>
      <c r="G43" s="31"/>
      <c r="H43" s="31"/>
      <c r="I43" s="23">
        <f t="shared" si="2"/>
        <v>0</v>
      </c>
      <c r="J43" s="30"/>
      <c r="K43" s="31"/>
      <c r="L43" s="31"/>
      <c r="M43" s="23">
        <f t="shared" si="3"/>
        <v>0</v>
      </c>
      <c r="N43" s="30"/>
      <c r="O43" s="31"/>
      <c r="P43" s="31"/>
      <c r="Q43" s="23">
        <f t="shared" si="4"/>
        <v>0</v>
      </c>
      <c r="R43" s="30"/>
      <c r="S43" s="31"/>
      <c r="T43" s="31"/>
      <c r="U43" s="23">
        <f t="shared" si="5"/>
        <v>0</v>
      </c>
      <c r="V43" s="24">
        <f t="shared" si="6"/>
        <v>0</v>
      </c>
      <c r="W43" s="25" t="s">
        <v>25</v>
      </c>
      <c r="X43" s="49"/>
      <c r="Y43" s="74" t="s">
        <v>49</v>
      </c>
      <c r="Z43" s="75" t="s">
        <v>50</v>
      </c>
      <c r="AA43" s="75" t="s">
        <v>64</v>
      </c>
      <c r="AB43" s="75" t="s">
        <v>2</v>
      </c>
      <c r="AC43" s="75" t="s">
        <v>41</v>
      </c>
    </row>
    <row r="44">
      <c r="A44" s="26" t="s">
        <v>76</v>
      </c>
      <c r="B44" s="30"/>
      <c r="C44" s="31"/>
      <c r="D44" s="31"/>
      <c r="E44" s="23">
        <f t="shared" si="1"/>
        <v>0</v>
      </c>
      <c r="F44" s="30"/>
      <c r="G44" s="31"/>
      <c r="H44" s="31"/>
      <c r="I44" s="23">
        <f t="shared" si="2"/>
        <v>0</v>
      </c>
      <c r="J44" s="30"/>
      <c r="K44" s="31"/>
      <c r="L44" s="31"/>
      <c r="M44" s="23">
        <f t="shared" si="3"/>
        <v>0</v>
      </c>
      <c r="N44" s="30"/>
      <c r="O44" s="31"/>
      <c r="P44" s="31"/>
      <c r="Q44" s="23">
        <f t="shared" si="4"/>
        <v>0</v>
      </c>
      <c r="R44" s="30"/>
      <c r="S44" s="31"/>
      <c r="T44" s="31"/>
      <c r="U44" s="23">
        <f t="shared" si="5"/>
        <v>0</v>
      </c>
      <c r="V44" s="24">
        <f t="shared" si="6"/>
        <v>0</v>
      </c>
      <c r="W44" s="25" t="s">
        <v>22</v>
      </c>
      <c r="X44" s="49"/>
      <c r="Y44" s="76">
        <v>45179.0</v>
      </c>
      <c r="Z44" s="77"/>
      <c r="AA44" s="77"/>
      <c r="AB44" s="78" t="b">
        <v>0</v>
      </c>
      <c r="AC44" s="79" t="b">
        <v>0</v>
      </c>
    </row>
    <row r="45">
      <c r="A45" s="26" t="s">
        <v>77</v>
      </c>
      <c r="B45" s="30"/>
      <c r="C45" s="31"/>
      <c r="D45" s="31"/>
      <c r="E45" s="23">
        <f t="shared" si="1"/>
        <v>0</v>
      </c>
      <c r="F45" s="30"/>
      <c r="G45" s="31"/>
      <c r="H45" s="31"/>
      <c r="I45" s="23">
        <f t="shared" si="2"/>
        <v>0</v>
      </c>
      <c r="J45" s="30"/>
      <c r="K45" s="31"/>
      <c r="L45" s="31"/>
      <c r="M45" s="23">
        <f t="shared" si="3"/>
        <v>0</v>
      </c>
      <c r="N45" s="30"/>
      <c r="O45" s="31"/>
      <c r="P45" s="31"/>
      <c r="Q45" s="23">
        <f t="shared" si="4"/>
        <v>0</v>
      </c>
      <c r="R45" s="30"/>
      <c r="S45" s="31"/>
      <c r="T45" s="31"/>
      <c r="U45" s="23">
        <f t="shared" si="5"/>
        <v>0</v>
      </c>
      <c r="V45" s="24">
        <f t="shared" si="6"/>
        <v>0</v>
      </c>
      <c r="W45" s="25" t="s">
        <v>22</v>
      </c>
      <c r="X45" s="49"/>
      <c r="Y45" s="76">
        <v>45210.0</v>
      </c>
      <c r="Z45" s="77"/>
      <c r="AA45" s="77"/>
      <c r="AB45" s="80" t="b">
        <v>0</v>
      </c>
      <c r="AC45" s="81" t="b">
        <v>0</v>
      </c>
    </row>
    <row r="46">
      <c r="A46" s="26" t="s">
        <v>78</v>
      </c>
      <c r="B46" s="30"/>
      <c r="C46" s="31"/>
      <c r="D46" s="31"/>
      <c r="E46" s="23">
        <f t="shared" si="1"/>
        <v>0</v>
      </c>
      <c r="F46" s="30"/>
      <c r="G46" s="31"/>
      <c r="H46" s="31"/>
      <c r="I46" s="23">
        <f t="shared" si="2"/>
        <v>0</v>
      </c>
      <c r="J46" s="30"/>
      <c r="K46" s="31"/>
      <c r="L46" s="31"/>
      <c r="M46" s="23">
        <f t="shared" si="3"/>
        <v>0</v>
      </c>
      <c r="N46" s="30"/>
      <c r="O46" s="31"/>
      <c r="P46" s="31"/>
      <c r="Q46" s="23">
        <f t="shared" si="4"/>
        <v>0</v>
      </c>
      <c r="R46" s="30"/>
      <c r="S46" s="31"/>
      <c r="T46" s="31"/>
      <c r="U46" s="23">
        <f t="shared" si="5"/>
        <v>0</v>
      </c>
      <c r="V46" s="24">
        <f t="shared" si="6"/>
        <v>0</v>
      </c>
      <c r="W46" s="25" t="s">
        <v>8</v>
      </c>
      <c r="X46" s="49"/>
      <c r="Y46" s="76">
        <v>45242.0</v>
      </c>
      <c r="Z46" s="77"/>
      <c r="AA46" s="77"/>
      <c r="AB46" s="80" t="b">
        <v>0</v>
      </c>
      <c r="AC46" s="81" t="b">
        <v>0</v>
      </c>
    </row>
    <row r="47">
      <c r="A47" s="26" t="s">
        <v>79</v>
      </c>
      <c r="B47" s="30"/>
      <c r="C47" s="31"/>
      <c r="D47" s="31"/>
      <c r="E47" s="23">
        <f t="shared" si="1"/>
        <v>0</v>
      </c>
      <c r="F47" s="30"/>
      <c r="G47" s="31"/>
      <c r="H47" s="31"/>
      <c r="I47" s="23">
        <f t="shared" si="2"/>
        <v>0</v>
      </c>
      <c r="J47" s="30"/>
      <c r="K47" s="31"/>
      <c r="L47" s="31"/>
      <c r="M47" s="23">
        <f t="shared" si="3"/>
        <v>0</v>
      </c>
      <c r="N47" s="30"/>
      <c r="O47" s="31"/>
      <c r="P47" s="31"/>
      <c r="Q47" s="23">
        <f t="shared" si="4"/>
        <v>0</v>
      </c>
      <c r="R47" s="30"/>
      <c r="S47" s="31"/>
      <c r="T47" s="31"/>
      <c r="U47" s="23">
        <f t="shared" si="5"/>
        <v>0</v>
      </c>
      <c r="V47" s="24">
        <f t="shared" si="6"/>
        <v>0</v>
      </c>
      <c r="W47" s="25" t="s">
        <v>25</v>
      </c>
      <c r="X47" s="49"/>
      <c r="Y47" s="76">
        <v>45261.0</v>
      </c>
      <c r="Z47" s="77"/>
      <c r="AA47" s="77"/>
      <c r="AB47" s="80" t="b">
        <v>0</v>
      </c>
      <c r="AC47" s="81" t="b">
        <v>0</v>
      </c>
    </row>
    <row r="48">
      <c r="A48" s="26" t="s">
        <v>80</v>
      </c>
      <c r="B48" s="30"/>
      <c r="C48" s="31"/>
      <c r="D48" s="31"/>
      <c r="E48" s="23">
        <f t="shared" si="1"/>
        <v>0</v>
      </c>
      <c r="F48" s="30"/>
      <c r="G48" s="31"/>
      <c r="H48" s="31"/>
      <c r="I48" s="23">
        <f t="shared" si="2"/>
        <v>0</v>
      </c>
      <c r="J48" s="30"/>
      <c r="K48" s="31"/>
      <c r="L48" s="31"/>
      <c r="M48" s="23">
        <f t="shared" si="3"/>
        <v>0</v>
      </c>
      <c r="N48" s="30"/>
      <c r="O48" s="31"/>
      <c r="P48" s="31"/>
      <c r="Q48" s="23">
        <f t="shared" si="4"/>
        <v>0</v>
      </c>
      <c r="R48" s="30"/>
      <c r="S48" s="31"/>
      <c r="T48" s="31"/>
      <c r="U48" s="23">
        <f t="shared" si="5"/>
        <v>0</v>
      </c>
      <c r="V48" s="24">
        <f t="shared" si="6"/>
        <v>0</v>
      </c>
      <c r="W48" s="25" t="s">
        <v>25</v>
      </c>
      <c r="X48" s="49"/>
      <c r="Y48" s="76">
        <v>44928.0</v>
      </c>
      <c r="Z48" s="77"/>
      <c r="AA48" s="77"/>
      <c r="AB48" s="80" t="b">
        <v>0</v>
      </c>
      <c r="AC48" s="81" t="b">
        <v>0</v>
      </c>
    </row>
    <row r="49">
      <c r="A49" s="26" t="s">
        <v>81</v>
      </c>
      <c r="B49" s="30"/>
      <c r="C49" s="31"/>
      <c r="D49" s="31"/>
      <c r="E49" s="23">
        <f t="shared" si="1"/>
        <v>0</v>
      </c>
      <c r="F49" s="30"/>
      <c r="G49" s="31"/>
      <c r="H49" s="31"/>
      <c r="I49" s="23">
        <f t="shared" si="2"/>
        <v>0</v>
      </c>
      <c r="J49" s="30"/>
      <c r="K49" s="31"/>
      <c r="L49" s="31"/>
      <c r="M49" s="23">
        <f t="shared" si="3"/>
        <v>0</v>
      </c>
      <c r="N49" s="30"/>
      <c r="O49" s="31"/>
      <c r="P49" s="31"/>
      <c r="Q49" s="23">
        <f t="shared" si="4"/>
        <v>0</v>
      </c>
      <c r="R49" s="30"/>
      <c r="S49" s="31"/>
      <c r="T49" s="31"/>
      <c r="U49" s="23">
        <f t="shared" si="5"/>
        <v>0</v>
      </c>
      <c r="V49" s="24">
        <f t="shared" si="6"/>
        <v>0</v>
      </c>
      <c r="W49" s="25" t="s">
        <v>8</v>
      </c>
      <c r="X49" s="49"/>
      <c r="Y49" s="76">
        <v>44960.0</v>
      </c>
      <c r="Z49" s="77"/>
      <c r="AA49" s="77"/>
      <c r="AB49" s="80" t="b">
        <v>0</v>
      </c>
      <c r="AC49" s="81" t="b">
        <v>0</v>
      </c>
    </row>
    <row r="50">
      <c r="A50" s="26" t="s">
        <v>82</v>
      </c>
      <c r="B50" s="30"/>
      <c r="C50" s="31"/>
      <c r="D50" s="31"/>
      <c r="E50" s="23">
        <f t="shared" si="1"/>
        <v>0</v>
      </c>
      <c r="F50" s="30"/>
      <c r="G50" s="31"/>
      <c r="H50" s="31"/>
      <c r="I50" s="23">
        <f t="shared" si="2"/>
        <v>0</v>
      </c>
      <c r="J50" s="30"/>
      <c r="K50" s="31"/>
      <c r="L50" s="31"/>
      <c r="M50" s="23">
        <f t="shared" si="3"/>
        <v>0</v>
      </c>
      <c r="N50" s="30"/>
      <c r="O50" s="31"/>
      <c r="P50" s="31"/>
      <c r="Q50" s="23">
        <f t="shared" si="4"/>
        <v>0</v>
      </c>
      <c r="R50" s="30"/>
      <c r="S50" s="31"/>
      <c r="T50" s="31"/>
      <c r="U50" s="23">
        <f t="shared" si="5"/>
        <v>0</v>
      </c>
      <c r="V50" s="24">
        <f t="shared" si="6"/>
        <v>0</v>
      </c>
      <c r="W50" s="25" t="s">
        <v>8</v>
      </c>
      <c r="X50" s="49"/>
      <c r="Y50" s="76">
        <v>44989.0</v>
      </c>
      <c r="Z50" s="77"/>
      <c r="AA50" s="77"/>
      <c r="AB50" s="80" t="b">
        <v>0</v>
      </c>
      <c r="AC50" s="81" t="b">
        <v>0</v>
      </c>
    </row>
    <row r="51">
      <c r="A51" s="26" t="s">
        <v>83</v>
      </c>
      <c r="B51" s="30"/>
      <c r="C51" s="31"/>
      <c r="D51" s="31"/>
      <c r="E51" s="23">
        <f t="shared" si="1"/>
        <v>0</v>
      </c>
      <c r="F51" s="30"/>
      <c r="G51" s="31"/>
      <c r="H51" s="31"/>
      <c r="I51" s="23">
        <f t="shared" si="2"/>
        <v>0</v>
      </c>
      <c r="J51" s="30"/>
      <c r="K51" s="31"/>
      <c r="L51" s="31"/>
      <c r="M51" s="23">
        <f t="shared" si="3"/>
        <v>0</v>
      </c>
      <c r="N51" s="30"/>
      <c r="O51" s="31"/>
      <c r="P51" s="31"/>
      <c r="Q51" s="23">
        <f t="shared" si="4"/>
        <v>0</v>
      </c>
      <c r="R51" s="30"/>
      <c r="S51" s="31"/>
      <c r="T51" s="31"/>
      <c r="U51" s="23">
        <f t="shared" si="5"/>
        <v>0</v>
      </c>
      <c r="V51" s="24">
        <f t="shared" si="6"/>
        <v>0</v>
      </c>
      <c r="W51" s="25" t="s">
        <v>8</v>
      </c>
      <c r="X51" s="49"/>
      <c r="Y51" s="82"/>
      <c r="Z51" s="82"/>
      <c r="AA51" s="82"/>
      <c r="AB51" s="82"/>
      <c r="AC51" s="82"/>
    </row>
    <row r="52">
      <c r="A52" s="26" t="s">
        <v>84</v>
      </c>
      <c r="B52" s="30"/>
      <c r="C52" s="31"/>
      <c r="D52" s="31"/>
      <c r="E52" s="23">
        <f t="shared" si="1"/>
        <v>0</v>
      </c>
      <c r="F52" s="30"/>
      <c r="G52" s="31"/>
      <c r="H52" s="31"/>
      <c r="I52" s="23">
        <f t="shared" si="2"/>
        <v>0</v>
      </c>
      <c r="J52" s="30"/>
      <c r="K52" s="31"/>
      <c r="L52" s="31"/>
      <c r="M52" s="23">
        <f t="shared" si="3"/>
        <v>0</v>
      </c>
      <c r="N52" s="30"/>
      <c r="O52" s="31"/>
      <c r="P52" s="31"/>
      <c r="Q52" s="23">
        <f t="shared" si="4"/>
        <v>0</v>
      </c>
      <c r="R52" s="30"/>
      <c r="S52" s="31"/>
      <c r="T52" s="31"/>
      <c r="U52" s="23">
        <f t="shared" si="5"/>
        <v>0</v>
      </c>
      <c r="V52" s="24">
        <f t="shared" si="6"/>
        <v>0</v>
      </c>
      <c r="W52" s="25" t="s">
        <v>8</v>
      </c>
      <c r="X52" s="49"/>
      <c r="Y52" s="83" t="s">
        <v>85</v>
      </c>
      <c r="Z52" s="84"/>
      <c r="AA52" s="84"/>
      <c r="AB52" s="84"/>
      <c r="AC52" s="85"/>
    </row>
    <row r="53">
      <c r="A53" s="26" t="s">
        <v>86</v>
      </c>
      <c r="B53" s="30"/>
      <c r="C53" s="31"/>
      <c r="D53" s="31"/>
      <c r="E53" s="23">
        <f t="shared" si="1"/>
        <v>0</v>
      </c>
      <c r="F53" s="30"/>
      <c r="G53" s="31"/>
      <c r="H53" s="31"/>
      <c r="I53" s="23">
        <f t="shared" si="2"/>
        <v>0</v>
      </c>
      <c r="J53" s="30"/>
      <c r="K53" s="31"/>
      <c r="L53" s="31"/>
      <c r="M53" s="23">
        <f t="shared" si="3"/>
        <v>0</v>
      </c>
      <c r="N53" s="30"/>
      <c r="O53" s="31"/>
      <c r="P53" s="31"/>
      <c r="Q53" s="23">
        <f t="shared" si="4"/>
        <v>0</v>
      </c>
      <c r="R53" s="30"/>
      <c r="S53" s="31"/>
      <c r="T53" s="31"/>
      <c r="U53" s="23">
        <f t="shared" si="5"/>
        <v>0</v>
      </c>
      <c r="V53" s="24">
        <f t="shared" si="6"/>
        <v>0</v>
      </c>
      <c r="W53" s="25" t="s">
        <v>25</v>
      </c>
      <c r="X53" s="49"/>
      <c r="Y53" s="74" t="s">
        <v>49</v>
      </c>
      <c r="Z53" s="75" t="s">
        <v>50</v>
      </c>
      <c r="AA53" s="75" t="s">
        <v>64</v>
      </c>
      <c r="AB53" s="75" t="s">
        <v>2</v>
      </c>
      <c r="AC53" s="75" t="s">
        <v>41</v>
      </c>
    </row>
    <row r="54">
      <c r="A54" s="26" t="s">
        <v>87</v>
      </c>
      <c r="B54" s="30"/>
      <c r="C54" s="31"/>
      <c r="D54" s="31"/>
      <c r="E54" s="23">
        <f t="shared" si="1"/>
        <v>0</v>
      </c>
      <c r="F54" s="30"/>
      <c r="G54" s="31"/>
      <c r="H54" s="31"/>
      <c r="I54" s="23">
        <f t="shared" si="2"/>
        <v>0</v>
      </c>
      <c r="J54" s="30"/>
      <c r="K54" s="31"/>
      <c r="L54" s="31"/>
      <c r="M54" s="23">
        <f t="shared" si="3"/>
        <v>0</v>
      </c>
      <c r="N54" s="30"/>
      <c r="O54" s="31"/>
      <c r="P54" s="31"/>
      <c r="Q54" s="23">
        <f t="shared" si="4"/>
        <v>0</v>
      </c>
      <c r="R54" s="30"/>
      <c r="S54" s="31"/>
      <c r="T54" s="31"/>
      <c r="U54" s="23">
        <f t="shared" si="5"/>
        <v>0</v>
      </c>
      <c r="V54" s="24">
        <f t="shared" si="6"/>
        <v>0</v>
      </c>
      <c r="W54" s="25" t="s">
        <v>22</v>
      </c>
      <c r="X54" s="49"/>
      <c r="Y54" s="76">
        <v>45179.0</v>
      </c>
      <c r="Z54" s="77"/>
      <c r="AA54" s="77"/>
      <c r="AB54" s="78" t="b">
        <v>0</v>
      </c>
      <c r="AC54" s="79" t="b">
        <v>0</v>
      </c>
    </row>
    <row r="55">
      <c r="A55" s="26" t="s">
        <v>88</v>
      </c>
      <c r="B55" s="30"/>
      <c r="C55" s="31"/>
      <c r="D55" s="31"/>
      <c r="E55" s="23">
        <f t="shared" si="1"/>
        <v>0</v>
      </c>
      <c r="F55" s="30"/>
      <c r="G55" s="31"/>
      <c r="H55" s="31"/>
      <c r="I55" s="23">
        <f t="shared" si="2"/>
        <v>0</v>
      </c>
      <c r="J55" s="30"/>
      <c r="K55" s="31"/>
      <c r="L55" s="31"/>
      <c r="M55" s="23">
        <f t="shared" si="3"/>
        <v>0</v>
      </c>
      <c r="N55" s="30"/>
      <c r="O55" s="31"/>
      <c r="P55" s="31"/>
      <c r="Q55" s="23">
        <f t="shared" si="4"/>
        <v>0</v>
      </c>
      <c r="R55" s="30"/>
      <c r="S55" s="31"/>
      <c r="T55" s="31"/>
      <c r="U55" s="23">
        <f t="shared" si="5"/>
        <v>0</v>
      </c>
      <c r="V55" s="24">
        <f t="shared" si="6"/>
        <v>0</v>
      </c>
      <c r="W55" s="25" t="s">
        <v>25</v>
      </c>
      <c r="X55" s="49"/>
      <c r="Y55" s="76">
        <v>45210.0</v>
      </c>
      <c r="Z55" s="77"/>
      <c r="AA55" s="77"/>
      <c r="AB55" s="80" t="b">
        <v>0</v>
      </c>
      <c r="AC55" s="81" t="b">
        <v>0</v>
      </c>
    </row>
    <row r="56">
      <c r="A56" s="26" t="s">
        <v>89</v>
      </c>
      <c r="B56" s="30"/>
      <c r="C56" s="31"/>
      <c r="D56" s="31"/>
      <c r="E56" s="23">
        <f t="shared" si="1"/>
        <v>0</v>
      </c>
      <c r="F56" s="30"/>
      <c r="G56" s="31"/>
      <c r="H56" s="31"/>
      <c r="I56" s="23">
        <f t="shared" si="2"/>
        <v>0</v>
      </c>
      <c r="J56" s="30"/>
      <c r="K56" s="31"/>
      <c r="L56" s="31"/>
      <c r="M56" s="23">
        <f t="shared" si="3"/>
        <v>0</v>
      </c>
      <c r="N56" s="38">
        <v>1.0</v>
      </c>
      <c r="O56" s="31"/>
      <c r="P56" s="31"/>
      <c r="Q56" s="23">
        <f t="shared" si="4"/>
        <v>1</v>
      </c>
      <c r="R56" s="30"/>
      <c r="S56" s="31"/>
      <c r="T56" s="31"/>
      <c r="U56" s="23">
        <f t="shared" si="5"/>
        <v>0</v>
      </c>
      <c r="V56" s="24">
        <f t="shared" si="6"/>
        <v>1</v>
      </c>
      <c r="W56" s="25" t="s">
        <v>20</v>
      </c>
      <c r="X56" s="49"/>
      <c r="Y56" s="76">
        <v>45242.0</v>
      </c>
      <c r="Z56" s="77"/>
      <c r="AA56" s="77"/>
      <c r="AB56" s="80" t="b">
        <v>0</v>
      </c>
      <c r="AC56" s="81" t="b">
        <v>0</v>
      </c>
    </row>
    <row r="57">
      <c r="A57" s="26" t="s">
        <v>90</v>
      </c>
      <c r="B57" s="30"/>
      <c r="C57" s="31"/>
      <c r="D57" s="31"/>
      <c r="E57" s="23">
        <f t="shared" si="1"/>
        <v>0</v>
      </c>
      <c r="F57" s="30"/>
      <c r="G57" s="31"/>
      <c r="H57" s="31"/>
      <c r="I57" s="23">
        <f t="shared" si="2"/>
        <v>0</v>
      </c>
      <c r="J57" s="30"/>
      <c r="K57" s="31"/>
      <c r="L57" s="31"/>
      <c r="M57" s="23">
        <f t="shared" si="3"/>
        <v>0</v>
      </c>
      <c r="N57" s="30"/>
      <c r="O57" s="31"/>
      <c r="P57" s="31"/>
      <c r="Q57" s="23">
        <f t="shared" si="4"/>
        <v>0</v>
      </c>
      <c r="R57" s="30"/>
      <c r="S57" s="31"/>
      <c r="T57" s="31"/>
      <c r="U57" s="23">
        <f t="shared" si="5"/>
        <v>0</v>
      </c>
      <c r="V57" s="24">
        <f t="shared" si="6"/>
        <v>0</v>
      </c>
      <c r="W57" s="25" t="s">
        <v>25</v>
      </c>
      <c r="X57" s="49"/>
      <c r="Y57" s="76">
        <v>45261.0</v>
      </c>
      <c r="Z57" s="77"/>
      <c r="AA57" s="77"/>
      <c r="AB57" s="80" t="b">
        <v>0</v>
      </c>
      <c r="AC57" s="81" t="b">
        <v>0</v>
      </c>
    </row>
    <row r="58">
      <c r="A58" s="26" t="s">
        <v>25</v>
      </c>
      <c r="B58" s="30"/>
      <c r="C58" s="31"/>
      <c r="D58" s="31"/>
      <c r="E58" s="23">
        <f t="shared" si="1"/>
        <v>0</v>
      </c>
      <c r="F58" s="38">
        <v>1.0</v>
      </c>
      <c r="G58" s="31"/>
      <c r="H58" s="31"/>
      <c r="I58" s="23">
        <f t="shared" si="2"/>
        <v>1</v>
      </c>
      <c r="J58" s="30"/>
      <c r="K58" s="31"/>
      <c r="L58" s="31"/>
      <c r="M58" s="23">
        <f t="shared" si="3"/>
        <v>0</v>
      </c>
      <c r="N58" s="30"/>
      <c r="O58" s="31"/>
      <c r="P58" s="31"/>
      <c r="Q58" s="23">
        <f t="shared" si="4"/>
        <v>0</v>
      </c>
      <c r="R58" s="38">
        <v>1.0</v>
      </c>
      <c r="S58" s="31"/>
      <c r="T58" s="31"/>
      <c r="U58" s="23">
        <f t="shared" si="5"/>
        <v>1</v>
      </c>
      <c r="V58" s="24">
        <f t="shared" si="6"/>
        <v>2</v>
      </c>
      <c r="W58" s="25" t="s">
        <v>8</v>
      </c>
      <c r="X58" s="49"/>
      <c r="Y58" s="76">
        <v>44928.0</v>
      </c>
      <c r="Z58" s="77"/>
      <c r="AA58" s="77"/>
      <c r="AB58" s="80" t="b">
        <v>0</v>
      </c>
      <c r="AC58" s="81" t="b">
        <v>0</v>
      </c>
    </row>
    <row r="59">
      <c r="A59" s="26" t="s">
        <v>91</v>
      </c>
      <c r="B59" s="30"/>
      <c r="C59" s="31"/>
      <c r="D59" s="31"/>
      <c r="E59" s="23">
        <f t="shared" si="1"/>
        <v>0</v>
      </c>
      <c r="F59" s="30"/>
      <c r="G59" s="31"/>
      <c r="H59" s="31"/>
      <c r="I59" s="23">
        <f t="shared" si="2"/>
        <v>0</v>
      </c>
      <c r="J59" s="30"/>
      <c r="K59" s="31"/>
      <c r="L59" s="31"/>
      <c r="M59" s="23">
        <f t="shared" si="3"/>
        <v>0</v>
      </c>
      <c r="N59" s="30"/>
      <c r="O59" s="31"/>
      <c r="P59" s="31"/>
      <c r="Q59" s="23">
        <f t="shared" si="4"/>
        <v>0</v>
      </c>
      <c r="R59" s="30"/>
      <c r="S59" s="31"/>
      <c r="T59" s="31"/>
      <c r="U59" s="23">
        <f t="shared" si="5"/>
        <v>0</v>
      </c>
      <c r="V59" s="24">
        <f t="shared" si="6"/>
        <v>0</v>
      </c>
      <c r="W59" s="25" t="s">
        <v>25</v>
      </c>
      <c r="X59" s="49"/>
      <c r="Y59" s="76">
        <v>44960.0</v>
      </c>
      <c r="Z59" s="77"/>
      <c r="AA59" s="77"/>
      <c r="AB59" s="80" t="b">
        <v>0</v>
      </c>
      <c r="AC59" s="81" t="b">
        <v>0</v>
      </c>
    </row>
    <row r="60">
      <c r="A60" s="86" t="s">
        <v>92</v>
      </c>
      <c r="B60" s="30"/>
      <c r="C60" s="31"/>
      <c r="D60" s="31"/>
      <c r="E60" s="23">
        <f t="shared" si="1"/>
        <v>0</v>
      </c>
      <c r="F60" s="30"/>
      <c r="G60" s="31"/>
      <c r="H60" s="31"/>
      <c r="I60" s="23">
        <f t="shared" si="2"/>
        <v>0</v>
      </c>
      <c r="J60" s="30"/>
      <c r="K60" s="31"/>
      <c r="L60" s="31"/>
      <c r="M60" s="23">
        <f t="shared" si="3"/>
        <v>0</v>
      </c>
      <c r="N60" s="38">
        <v>1.0</v>
      </c>
      <c r="O60" s="31"/>
      <c r="P60" s="31"/>
      <c r="Q60" s="23">
        <f t="shared" si="4"/>
        <v>1</v>
      </c>
      <c r="R60" s="30"/>
      <c r="S60" s="31"/>
      <c r="T60" s="31"/>
      <c r="U60" s="23">
        <f t="shared" si="5"/>
        <v>0</v>
      </c>
      <c r="V60" s="24">
        <f t="shared" si="6"/>
        <v>1</v>
      </c>
      <c r="W60" s="25" t="s">
        <v>8</v>
      </c>
      <c r="X60" s="49"/>
      <c r="Y60" s="76">
        <v>44989.0</v>
      </c>
      <c r="Z60" s="77"/>
      <c r="AA60" s="77"/>
      <c r="AB60" s="80" t="b">
        <v>0</v>
      </c>
      <c r="AC60" s="81" t="b">
        <v>0</v>
      </c>
    </row>
    <row r="61">
      <c r="A61" s="26" t="s">
        <v>93</v>
      </c>
      <c r="B61" s="30"/>
      <c r="C61" s="31"/>
      <c r="D61" s="31"/>
      <c r="E61" s="23">
        <f t="shared" si="1"/>
        <v>0</v>
      </c>
      <c r="F61" s="30"/>
      <c r="G61" s="31"/>
      <c r="H61" s="31"/>
      <c r="I61" s="23">
        <f t="shared" si="2"/>
        <v>0</v>
      </c>
      <c r="J61" s="30"/>
      <c r="K61" s="31"/>
      <c r="L61" s="31"/>
      <c r="M61" s="23">
        <f t="shared" si="3"/>
        <v>0</v>
      </c>
      <c r="N61" s="30"/>
      <c r="O61" s="31"/>
      <c r="P61" s="31"/>
      <c r="Q61" s="23">
        <f t="shared" si="4"/>
        <v>0</v>
      </c>
      <c r="R61" s="30"/>
      <c r="S61" s="31"/>
      <c r="T61" s="31"/>
      <c r="U61" s="23">
        <f t="shared" si="5"/>
        <v>0</v>
      </c>
      <c r="V61" s="24">
        <f t="shared" si="6"/>
        <v>0</v>
      </c>
      <c r="W61" s="25" t="s">
        <v>8</v>
      </c>
      <c r="X61" s="49"/>
      <c r="Y61" s="82"/>
      <c r="Z61" s="82"/>
      <c r="AA61" s="82"/>
      <c r="AB61" s="82"/>
      <c r="AC61" s="82"/>
    </row>
    <row r="62">
      <c r="A62" s="70" t="s">
        <v>94</v>
      </c>
      <c r="B62" s="30"/>
      <c r="C62" s="31"/>
      <c r="D62" s="31"/>
      <c r="E62" s="23">
        <f t="shared" si="1"/>
        <v>0</v>
      </c>
      <c r="F62" s="30"/>
      <c r="G62" s="31"/>
      <c r="H62" s="31"/>
      <c r="I62" s="23">
        <f t="shared" si="2"/>
        <v>0</v>
      </c>
      <c r="J62" s="30"/>
      <c r="K62" s="31"/>
      <c r="L62" s="31"/>
      <c r="M62" s="23">
        <f t="shared" si="3"/>
        <v>0</v>
      </c>
      <c r="N62" s="30"/>
      <c r="O62" s="31"/>
      <c r="P62" s="31"/>
      <c r="Q62" s="23">
        <f t="shared" si="4"/>
        <v>0</v>
      </c>
      <c r="R62" s="30"/>
      <c r="S62" s="31"/>
      <c r="T62" s="31"/>
      <c r="U62" s="23">
        <f t="shared" si="5"/>
        <v>0</v>
      </c>
      <c r="V62" s="24">
        <f t="shared" si="6"/>
        <v>0</v>
      </c>
      <c r="W62" s="25" t="s">
        <v>8</v>
      </c>
      <c r="X62" s="49"/>
      <c r="Y62" s="83" t="s">
        <v>95</v>
      </c>
      <c r="Z62" s="84"/>
      <c r="AA62" s="84"/>
      <c r="AB62" s="84"/>
      <c r="AC62" s="85"/>
    </row>
    <row r="63">
      <c r="A63" s="26" t="s">
        <v>96</v>
      </c>
      <c r="B63" s="30"/>
      <c r="C63" s="31"/>
      <c r="D63" s="31"/>
      <c r="E63" s="23">
        <f t="shared" si="1"/>
        <v>0</v>
      </c>
      <c r="F63" s="30"/>
      <c r="G63" s="31"/>
      <c r="H63" s="31"/>
      <c r="I63" s="23">
        <f t="shared" si="2"/>
        <v>0</v>
      </c>
      <c r="J63" s="30"/>
      <c r="K63" s="31"/>
      <c r="L63" s="31"/>
      <c r="M63" s="23">
        <f t="shared" si="3"/>
        <v>0</v>
      </c>
      <c r="N63" s="30"/>
      <c r="O63" s="31"/>
      <c r="P63" s="31"/>
      <c r="Q63" s="23">
        <f t="shared" si="4"/>
        <v>0</v>
      </c>
      <c r="R63" s="30"/>
      <c r="S63" s="31"/>
      <c r="T63" s="31"/>
      <c r="U63" s="23">
        <f t="shared" si="5"/>
        <v>0</v>
      </c>
      <c r="V63" s="24">
        <f t="shared" si="6"/>
        <v>0</v>
      </c>
      <c r="W63" s="25" t="s">
        <v>8</v>
      </c>
      <c r="X63" s="49"/>
      <c r="Y63" s="74" t="s">
        <v>49</v>
      </c>
      <c r="Z63" s="87" t="s">
        <v>50</v>
      </c>
      <c r="AA63" s="87" t="s">
        <v>51</v>
      </c>
      <c r="AB63" s="87" t="s">
        <v>2</v>
      </c>
      <c r="AC63" s="87" t="s">
        <v>41</v>
      </c>
    </row>
    <row r="64">
      <c r="A64" s="88" t="s">
        <v>97</v>
      </c>
      <c r="B64" s="30"/>
      <c r="C64" s="31"/>
      <c r="D64" s="31"/>
      <c r="E64" s="23">
        <f t="shared" si="1"/>
        <v>0</v>
      </c>
      <c r="F64" s="30"/>
      <c r="G64" s="31"/>
      <c r="H64" s="31"/>
      <c r="I64" s="23">
        <f t="shared" si="2"/>
        <v>0</v>
      </c>
      <c r="J64" s="30"/>
      <c r="K64" s="31"/>
      <c r="L64" s="31"/>
      <c r="M64" s="23">
        <f t="shared" si="3"/>
        <v>0</v>
      </c>
      <c r="N64" s="30"/>
      <c r="O64" s="31"/>
      <c r="P64" s="31"/>
      <c r="Q64" s="23">
        <f t="shared" si="4"/>
        <v>0</v>
      </c>
      <c r="R64" s="30"/>
      <c r="S64" s="31"/>
      <c r="T64" s="31"/>
      <c r="U64" s="23">
        <f t="shared" si="5"/>
        <v>0</v>
      </c>
      <c r="V64" s="24">
        <f t="shared" si="6"/>
        <v>0</v>
      </c>
      <c r="W64" s="25" t="s">
        <v>8</v>
      </c>
      <c r="X64" s="49"/>
      <c r="Y64" s="89">
        <v>45179.0</v>
      </c>
      <c r="Z64" s="90"/>
      <c r="AA64" s="90"/>
      <c r="AB64" s="78" t="b">
        <v>0</v>
      </c>
      <c r="AC64" s="79" t="b">
        <v>0</v>
      </c>
    </row>
    <row r="65">
      <c r="A65" s="26" t="s">
        <v>98</v>
      </c>
      <c r="B65" s="30"/>
      <c r="C65" s="31"/>
      <c r="D65" s="31"/>
      <c r="E65" s="23">
        <f t="shared" si="1"/>
        <v>0</v>
      </c>
      <c r="F65" s="30"/>
      <c r="G65" s="31"/>
      <c r="H65" s="31"/>
      <c r="I65" s="23">
        <f t="shared" si="2"/>
        <v>0</v>
      </c>
      <c r="J65" s="30"/>
      <c r="K65" s="31"/>
      <c r="L65" s="31"/>
      <c r="M65" s="23">
        <f t="shared" si="3"/>
        <v>0</v>
      </c>
      <c r="N65" s="30"/>
      <c r="O65" s="31"/>
      <c r="P65" s="31"/>
      <c r="Q65" s="23">
        <f t="shared" si="4"/>
        <v>0</v>
      </c>
      <c r="R65" s="30"/>
      <c r="S65" s="31"/>
      <c r="T65" s="31"/>
      <c r="U65" s="23">
        <f t="shared" si="5"/>
        <v>0</v>
      </c>
      <c r="V65" s="24">
        <f t="shared" si="6"/>
        <v>0</v>
      </c>
      <c r="W65" s="25" t="s">
        <v>22</v>
      </c>
      <c r="X65" s="49"/>
      <c r="Y65" s="89">
        <v>45210.0</v>
      </c>
      <c r="Z65" s="91"/>
      <c r="AA65" s="91"/>
      <c r="AB65" s="80" t="b">
        <v>0</v>
      </c>
      <c r="AC65" s="81" t="b">
        <v>0</v>
      </c>
    </row>
    <row r="66">
      <c r="A66" s="26" t="s">
        <v>99</v>
      </c>
      <c r="B66" s="30"/>
      <c r="C66" s="31"/>
      <c r="D66" s="31"/>
      <c r="E66" s="23">
        <f t="shared" si="1"/>
        <v>0</v>
      </c>
      <c r="F66" s="30"/>
      <c r="G66" s="31"/>
      <c r="H66" s="31"/>
      <c r="I66" s="23">
        <f t="shared" si="2"/>
        <v>0</v>
      </c>
      <c r="J66" s="30"/>
      <c r="K66" s="31"/>
      <c r="L66" s="31"/>
      <c r="M66" s="23">
        <f t="shared" si="3"/>
        <v>0</v>
      </c>
      <c r="N66" s="30"/>
      <c r="O66" s="31"/>
      <c r="P66" s="31"/>
      <c r="Q66" s="23">
        <f t="shared" si="4"/>
        <v>0</v>
      </c>
      <c r="R66" s="30"/>
      <c r="S66" s="31"/>
      <c r="T66" s="31"/>
      <c r="U66" s="23">
        <f t="shared" si="5"/>
        <v>0</v>
      </c>
      <c r="V66" s="24">
        <f t="shared" si="6"/>
        <v>0</v>
      </c>
      <c r="W66" s="25" t="s">
        <v>8</v>
      </c>
      <c r="X66" s="49"/>
      <c r="Y66" s="89">
        <v>45242.0</v>
      </c>
      <c r="Z66" s="91"/>
      <c r="AA66" s="91"/>
      <c r="AB66" s="80" t="b">
        <v>0</v>
      </c>
      <c r="AC66" s="81" t="b">
        <v>0</v>
      </c>
    </row>
    <row r="67">
      <c r="A67" s="26" t="s">
        <v>100</v>
      </c>
      <c r="B67" s="30"/>
      <c r="C67" s="31"/>
      <c r="D67" s="31"/>
      <c r="E67" s="23">
        <f t="shared" si="1"/>
        <v>0</v>
      </c>
      <c r="F67" s="30"/>
      <c r="G67" s="31"/>
      <c r="H67" s="31"/>
      <c r="I67" s="23">
        <f t="shared" si="2"/>
        <v>0</v>
      </c>
      <c r="J67" s="30"/>
      <c r="K67" s="31"/>
      <c r="L67" s="31"/>
      <c r="M67" s="23">
        <f t="shared" si="3"/>
        <v>0</v>
      </c>
      <c r="N67" s="30"/>
      <c r="O67" s="31"/>
      <c r="P67" s="31"/>
      <c r="Q67" s="23">
        <f t="shared" si="4"/>
        <v>0</v>
      </c>
      <c r="R67" s="30"/>
      <c r="S67" s="31"/>
      <c r="T67" s="31"/>
      <c r="U67" s="23">
        <f t="shared" si="5"/>
        <v>0</v>
      </c>
      <c r="V67" s="24">
        <f t="shared" si="6"/>
        <v>0</v>
      </c>
      <c r="W67" s="25" t="s">
        <v>22</v>
      </c>
      <c r="X67" s="25"/>
      <c r="Y67" s="89">
        <v>45261.0</v>
      </c>
      <c r="Z67" s="91"/>
      <c r="AA67" s="91"/>
      <c r="AB67" s="80" t="b">
        <v>0</v>
      </c>
      <c r="AC67" s="81" t="b">
        <v>0</v>
      </c>
    </row>
    <row r="68">
      <c r="A68" s="26" t="s">
        <v>101</v>
      </c>
      <c r="B68" s="30"/>
      <c r="C68" s="31"/>
      <c r="D68" s="31"/>
      <c r="E68" s="23">
        <f t="shared" si="1"/>
        <v>0</v>
      </c>
      <c r="F68" s="30"/>
      <c r="G68" s="31"/>
      <c r="H68" s="31"/>
      <c r="I68" s="23">
        <f t="shared" si="2"/>
        <v>0</v>
      </c>
      <c r="J68" s="30"/>
      <c r="K68" s="31"/>
      <c r="L68" s="31"/>
      <c r="M68" s="23">
        <f t="shared" si="3"/>
        <v>0</v>
      </c>
      <c r="N68" s="30"/>
      <c r="O68" s="31"/>
      <c r="P68" s="31"/>
      <c r="Q68" s="23">
        <f t="shared" si="4"/>
        <v>0</v>
      </c>
      <c r="R68" s="30"/>
      <c r="S68" s="31"/>
      <c r="T68" s="31"/>
      <c r="U68" s="23">
        <f t="shared" si="5"/>
        <v>0</v>
      </c>
      <c r="V68" s="24">
        <f t="shared" si="6"/>
        <v>0</v>
      </c>
      <c r="W68" s="25" t="s">
        <v>8</v>
      </c>
      <c r="X68" s="49"/>
      <c r="Y68" s="89">
        <v>44928.0</v>
      </c>
      <c r="Z68" s="91"/>
      <c r="AA68" s="91"/>
      <c r="AB68" s="80" t="b">
        <v>0</v>
      </c>
      <c r="AC68" s="81" t="b">
        <v>0</v>
      </c>
    </row>
    <row r="69">
      <c r="A69" s="26" t="s">
        <v>102</v>
      </c>
      <c r="B69" s="30"/>
      <c r="C69" s="31"/>
      <c r="D69" s="31"/>
      <c r="E69" s="23">
        <f t="shared" si="1"/>
        <v>0</v>
      </c>
      <c r="F69" s="30"/>
      <c r="G69" s="31"/>
      <c r="H69" s="31"/>
      <c r="I69" s="23">
        <f t="shared" si="2"/>
        <v>0</v>
      </c>
      <c r="J69" s="30"/>
      <c r="K69" s="31"/>
      <c r="L69" s="31"/>
      <c r="M69" s="23">
        <f t="shared" si="3"/>
        <v>0</v>
      </c>
      <c r="N69" s="30"/>
      <c r="O69" s="31"/>
      <c r="P69" s="31"/>
      <c r="Q69" s="23">
        <f t="shared" si="4"/>
        <v>0</v>
      </c>
      <c r="R69" s="30"/>
      <c r="S69" s="31"/>
      <c r="T69" s="31"/>
      <c r="U69" s="23">
        <f t="shared" si="5"/>
        <v>0</v>
      </c>
      <c r="V69" s="24">
        <f t="shared" si="6"/>
        <v>0</v>
      </c>
      <c r="W69" s="25" t="s">
        <v>22</v>
      </c>
      <c r="X69" s="49"/>
      <c r="Y69" s="89">
        <v>44960.0</v>
      </c>
      <c r="Z69" s="91"/>
      <c r="AA69" s="91"/>
      <c r="AB69" s="80" t="b">
        <v>0</v>
      </c>
      <c r="AC69" s="81" t="b">
        <v>0</v>
      </c>
    </row>
    <row r="70">
      <c r="A70" s="26" t="s">
        <v>103</v>
      </c>
      <c r="B70" s="30"/>
      <c r="C70" s="31"/>
      <c r="D70" s="31"/>
      <c r="E70" s="23">
        <f t="shared" si="1"/>
        <v>0</v>
      </c>
      <c r="F70" s="30"/>
      <c r="G70" s="31"/>
      <c r="H70" s="31"/>
      <c r="I70" s="23">
        <f t="shared" si="2"/>
        <v>0</v>
      </c>
      <c r="J70" s="30"/>
      <c r="K70" s="31"/>
      <c r="L70" s="31"/>
      <c r="M70" s="23">
        <f t="shared" si="3"/>
        <v>0</v>
      </c>
      <c r="N70" s="30"/>
      <c r="O70" s="31"/>
      <c r="P70" s="31"/>
      <c r="Q70" s="23">
        <f t="shared" si="4"/>
        <v>0</v>
      </c>
      <c r="R70" s="30"/>
      <c r="S70" s="31"/>
      <c r="T70" s="31"/>
      <c r="U70" s="23">
        <f t="shared" si="5"/>
        <v>0</v>
      </c>
      <c r="V70" s="24">
        <f t="shared" si="6"/>
        <v>0</v>
      </c>
      <c r="W70" s="25" t="s">
        <v>8</v>
      </c>
      <c r="X70" s="49"/>
      <c r="Y70" s="89">
        <v>44989.0</v>
      </c>
      <c r="Z70" s="91"/>
      <c r="AA70" s="91"/>
      <c r="AB70" s="80" t="b">
        <v>0</v>
      </c>
      <c r="AC70" s="81" t="b">
        <v>0</v>
      </c>
    </row>
    <row r="71">
      <c r="A71" s="26" t="s">
        <v>104</v>
      </c>
      <c r="B71" s="30"/>
      <c r="C71" s="31"/>
      <c r="D71" s="31"/>
      <c r="E71" s="23">
        <f t="shared" si="1"/>
        <v>0</v>
      </c>
      <c r="F71" s="30"/>
      <c r="G71" s="31"/>
      <c r="H71" s="31"/>
      <c r="I71" s="23">
        <f t="shared" si="2"/>
        <v>0</v>
      </c>
      <c r="J71" s="30"/>
      <c r="K71" s="31"/>
      <c r="L71" s="31"/>
      <c r="M71" s="23">
        <f t="shared" si="3"/>
        <v>0</v>
      </c>
      <c r="N71" s="30"/>
      <c r="O71" s="31"/>
      <c r="P71" s="31"/>
      <c r="Q71" s="23">
        <f t="shared" si="4"/>
        <v>0</v>
      </c>
      <c r="R71" s="30"/>
      <c r="S71" s="31"/>
      <c r="T71" s="31"/>
      <c r="U71" s="23">
        <f t="shared" si="5"/>
        <v>0</v>
      </c>
      <c r="V71" s="24">
        <f t="shared" si="6"/>
        <v>0</v>
      </c>
      <c r="W71" s="25" t="s">
        <v>23</v>
      </c>
      <c r="X71" s="49"/>
      <c r="Y71" s="49"/>
      <c r="Z71" s="49"/>
      <c r="AA71" s="49"/>
      <c r="AB71" s="49"/>
      <c r="AC71" s="49"/>
    </row>
    <row r="72">
      <c r="A72" s="26" t="s">
        <v>105</v>
      </c>
      <c r="B72" s="30"/>
      <c r="C72" s="31"/>
      <c r="D72" s="31"/>
      <c r="E72" s="23">
        <f t="shared" si="1"/>
        <v>0</v>
      </c>
      <c r="F72" s="30"/>
      <c r="G72" s="31"/>
      <c r="H72" s="31"/>
      <c r="I72" s="23">
        <f t="shared" si="2"/>
        <v>0</v>
      </c>
      <c r="J72" s="30"/>
      <c r="K72" s="31"/>
      <c r="L72" s="31"/>
      <c r="M72" s="23">
        <f t="shared" si="3"/>
        <v>0</v>
      </c>
      <c r="N72" s="30"/>
      <c r="O72" s="31"/>
      <c r="P72" s="31"/>
      <c r="Q72" s="23">
        <f t="shared" si="4"/>
        <v>0</v>
      </c>
      <c r="R72" s="30"/>
      <c r="S72" s="31"/>
      <c r="T72" s="31"/>
      <c r="U72" s="23">
        <f t="shared" si="5"/>
        <v>0</v>
      </c>
      <c r="V72" s="24">
        <f t="shared" si="6"/>
        <v>0</v>
      </c>
      <c r="W72" s="25" t="s">
        <v>23</v>
      </c>
      <c r="X72" s="25"/>
    </row>
    <row r="73">
      <c r="A73" s="26" t="s">
        <v>106</v>
      </c>
      <c r="B73" s="38">
        <v>1.0</v>
      </c>
      <c r="C73" s="31"/>
      <c r="D73" s="31"/>
      <c r="E73" s="23">
        <f t="shared" si="1"/>
        <v>1</v>
      </c>
      <c r="F73" s="38">
        <v>1.0</v>
      </c>
      <c r="G73" s="31"/>
      <c r="H73" s="31"/>
      <c r="I73" s="23">
        <f t="shared" si="2"/>
        <v>1</v>
      </c>
      <c r="J73" s="30"/>
      <c r="K73" s="31"/>
      <c r="L73" s="31"/>
      <c r="M73" s="23">
        <f t="shared" si="3"/>
        <v>0</v>
      </c>
      <c r="N73" s="30"/>
      <c r="O73" s="31"/>
      <c r="P73" s="31"/>
      <c r="Q73" s="23">
        <f t="shared" si="4"/>
        <v>0</v>
      </c>
      <c r="R73" s="38">
        <v>3.0</v>
      </c>
      <c r="S73" s="31"/>
      <c r="T73" s="31"/>
      <c r="U73" s="23">
        <f t="shared" si="5"/>
        <v>3</v>
      </c>
      <c r="V73" s="24">
        <f t="shared" si="6"/>
        <v>5</v>
      </c>
      <c r="W73" s="25" t="s">
        <v>8</v>
      </c>
      <c r="X73" s="49"/>
    </row>
    <row r="74">
      <c r="A74" s="26" t="s">
        <v>107</v>
      </c>
      <c r="B74" s="30"/>
      <c r="C74" s="31"/>
      <c r="D74" s="31"/>
      <c r="E74" s="23">
        <f t="shared" si="1"/>
        <v>0</v>
      </c>
      <c r="F74" s="30"/>
      <c r="G74" s="31"/>
      <c r="H74" s="31"/>
      <c r="I74" s="23">
        <f t="shared" si="2"/>
        <v>0</v>
      </c>
      <c r="J74" s="30"/>
      <c r="K74" s="31"/>
      <c r="L74" s="31"/>
      <c r="M74" s="23">
        <f t="shared" si="3"/>
        <v>0</v>
      </c>
      <c r="N74" s="30"/>
      <c r="O74" s="31"/>
      <c r="P74" s="64">
        <v>1.0</v>
      </c>
      <c r="Q74" s="23">
        <f t="shared" si="4"/>
        <v>1</v>
      </c>
      <c r="R74" s="30"/>
      <c r="S74" s="31"/>
      <c r="T74" s="31"/>
      <c r="U74" s="23">
        <f t="shared" si="5"/>
        <v>0</v>
      </c>
      <c r="V74" s="24">
        <f t="shared" si="6"/>
        <v>1</v>
      </c>
      <c r="W74" s="25" t="s">
        <v>25</v>
      </c>
      <c r="X74" s="49"/>
      <c r="Y74" s="92"/>
      <c r="Z74" s="92"/>
      <c r="AA74" s="92"/>
      <c r="AB74" s="92"/>
      <c r="AC74" s="92"/>
    </row>
    <row r="75">
      <c r="A75" s="70" t="s">
        <v>108</v>
      </c>
      <c r="B75" s="30"/>
      <c r="C75" s="31"/>
      <c r="D75" s="31"/>
      <c r="E75" s="23">
        <f t="shared" si="1"/>
        <v>0</v>
      </c>
      <c r="F75" s="30"/>
      <c r="G75" s="31"/>
      <c r="H75" s="31"/>
      <c r="I75" s="23">
        <f t="shared" si="2"/>
        <v>0</v>
      </c>
      <c r="J75" s="30"/>
      <c r="K75" s="31"/>
      <c r="L75" s="31"/>
      <c r="M75" s="23">
        <f t="shared" si="3"/>
        <v>0</v>
      </c>
      <c r="N75" s="30"/>
      <c r="O75" s="31"/>
      <c r="P75" s="31"/>
      <c r="Q75" s="23">
        <f t="shared" si="4"/>
        <v>0</v>
      </c>
      <c r="R75" s="30"/>
      <c r="S75" s="31"/>
      <c r="T75" s="31"/>
      <c r="U75" s="23">
        <f t="shared" si="5"/>
        <v>0</v>
      </c>
      <c r="V75" s="24">
        <f t="shared" si="6"/>
        <v>0</v>
      </c>
      <c r="W75" s="25" t="s">
        <v>22</v>
      </c>
      <c r="X75" s="49"/>
      <c r="Y75" s="92"/>
      <c r="Z75" s="92"/>
      <c r="AA75" s="93"/>
      <c r="AB75" s="49"/>
      <c r="AC75" s="49"/>
    </row>
    <row r="76">
      <c r="A76" s="26" t="s">
        <v>109</v>
      </c>
      <c r="B76" s="30"/>
      <c r="C76" s="31"/>
      <c r="D76" s="31"/>
      <c r="E76" s="23">
        <f t="shared" si="1"/>
        <v>0</v>
      </c>
      <c r="F76" s="30"/>
      <c r="G76" s="31"/>
      <c r="H76" s="31"/>
      <c r="I76" s="23">
        <f t="shared" si="2"/>
        <v>0</v>
      </c>
      <c r="J76" s="30"/>
      <c r="K76" s="31"/>
      <c r="L76" s="31"/>
      <c r="M76" s="23">
        <f t="shared" si="3"/>
        <v>0</v>
      </c>
      <c r="N76" s="30"/>
      <c r="O76" s="31"/>
      <c r="P76" s="31"/>
      <c r="Q76" s="23">
        <f t="shared" si="4"/>
        <v>0</v>
      </c>
      <c r="R76" s="30"/>
      <c r="S76" s="31"/>
      <c r="T76" s="31"/>
      <c r="U76" s="23">
        <f t="shared" si="5"/>
        <v>0</v>
      </c>
      <c r="V76" s="24">
        <f t="shared" si="6"/>
        <v>0</v>
      </c>
      <c r="W76" s="25" t="s">
        <v>23</v>
      </c>
      <c r="X76" s="49"/>
      <c r="Y76" s="92"/>
      <c r="Z76" s="92"/>
      <c r="AA76" s="92"/>
      <c r="AB76" s="49"/>
      <c r="AC76" s="49"/>
    </row>
    <row r="77">
      <c r="A77" s="26" t="s">
        <v>110</v>
      </c>
      <c r="B77" s="30"/>
      <c r="C77" s="31"/>
      <c r="D77" s="31"/>
      <c r="E77" s="23">
        <f t="shared" si="1"/>
        <v>0</v>
      </c>
      <c r="F77" s="30"/>
      <c r="G77" s="31"/>
      <c r="H77" s="31"/>
      <c r="I77" s="23">
        <f t="shared" si="2"/>
        <v>0</v>
      </c>
      <c r="J77" s="30"/>
      <c r="K77" s="31"/>
      <c r="L77" s="31"/>
      <c r="M77" s="23">
        <f t="shared" si="3"/>
        <v>0</v>
      </c>
      <c r="N77" s="30"/>
      <c r="O77" s="31"/>
      <c r="P77" s="31"/>
      <c r="Q77" s="23">
        <f t="shared" si="4"/>
        <v>0</v>
      </c>
      <c r="R77" s="30"/>
      <c r="S77" s="31"/>
      <c r="T77" s="31"/>
      <c r="U77" s="23">
        <f t="shared" si="5"/>
        <v>0</v>
      </c>
      <c r="V77" s="24">
        <f t="shared" si="6"/>
        <v>0</v>
      </c>
      <c r="W77" s="25" t="s">
        <v>22</v>
      </c>
      <c r="X77" s="49"/>
      <c r="Y77" s="92"/>
      <c r="Z77" s="92"/>
      <c r="AA77" s="92"/>
      <c r="AB77" s="49"/>
      <c r="AC77" s="49"/>
    </row>
    <row r="78">
      <c r="A78" s="94" t="s">
        <v>111</v>
      </c>
      <c r="B78" s="30"/>
      <c r="C78" s="31"/>
      <c r="D78" s="31"/>
      <c r="E78" s="23">
        <f t="shared" si="1"/>
        <v>0</v>
      </c>
      <c r="F78" s="30"/>
      <c r="G78" s="31"/>
      <c r="H78" s="31"/>
      <c r="I78" s="23">
        <f t="shared" si="2"/>
        <v>0</v>
      </c>
      <c r="J78" s="30"/>
      <c r="K78" s="31"/>
      <c r="L78" s="31"/>
      <c r="M78" s="23">
        <f t="shared" si="3"/>
        <v>0</v>
      </c>
      <c r="N78" s="30"/>
      <c r="O78" s="31"/>
      <c r="P78" s="31"/>
      <c r="Q78" s="23">
        <f t="shared" si="4"/>
        <v>0</v>
      </c>
      <c r="R78" s="30"/>
      <c r="S78" s="31"/>
      <c r="T78" s="31"/>
      <c r="U78" s="23">
        <f t="shared" si="5"/>
        <v>0</v>
      </c>
      <c r="V78" s="24">
        <f t="shared" si="6"/>
        <v>0</v>
      </c>
      <c r="W78" s="25" t="s">
        <v>22</v>
      </c>
      <c r="X78" s="49"/>
      <c r="Y78" s="92"/>
      <c r="Z78" s="92"/>
      <c r="AA78" s="92"/>
      <c r="AB78" s="49"/>
      <c r="AC78" s="49"/>
    </row>
    <row r="79">
      <c r="A79" s="95" t="s">
        <v>112</v>
      </c>
      <c r="B79" s="96"/>
      <c r="C79" s="97"/>
      <c r="D79" s="97"/>
      <c r="E79" s="23">
        <f t="shared" si="1"/>
        <v>0</v>
      </c>
      <c r="F79" s="96"/>
      <c r="G79" s="97"/>
      <c r="H79" s="97"/>
      <c r="I79" s="23">
        <f t="shared" si="2"/>
        <v>0</v>
      </c>
      <c r="J79" s="96"/>
      <c r="K79" s="97"/>
      <c r="L79" s="97"/>
      <c r="M79" s="23">
        <f t="shared" si="3"/>
        <v>0</v>
      </c>
      <c r="N79" s="96"/>
      <c r="O79" s="97"/>
      <c r="P79" s="97"/>
      <c r="Q79" s="23">
        <f t="shared" si="4"/>
        <v>0</v>
      </c>
      <c r="R79" s="96"/>
      <c r="S79" s="97"/>
      <c r="T79" s="97"/>
      <c r="U79" s="23">
        <f t="shared" si="5"/>
        <v>0</v>
      </c>
      <c r="V79" s="24">
        <f t="shared" si="6"/>
        <v>0</v>
      </c>
      <c r="W79" s="25" t="s">
        <v>8</v>
      </c>
      <c r="X79" s="49"/>
      <c r="Y79" s="92"/>
      <c r="Z79" s="92"/>
      <c r="AA79" s="92"/>
      <c r="AB79" s="49"/>
      <c r="AC79" s="49"/>
    </row>
    <row r="80" ht="17.25" customHeight="1">
      <c r="A80" s="95" t="s">
        <v>113</v>
      </c>
      <c r="B80" s="96"/>
      <c r="C80" s="97"/>
      <c r="D80" s="97"/>
      <c r="E80" s="23">
        <f t="shared" si="1"/>
        <v>0</v>
      </c>
      <c r="F80" s="96"/>
      <c r="G80" s="97"/>
      <c r="H80" s="97"/>
      <c r="I80" s="23">
        <f t="shared" si="2"/>
        <v>0</v>
      </c>
      <c r="J80" s="96"/>
      <c r="K80" s="97"/>
      <c r="L80" s="97"/>
      <c r="M80" s="23">
        <f t="shared" si="3"/>
        <v>0</v>
      </c>
      <c r="N80" s="96"/>
      <c r="O80" s="97"/>
      <c r="P80" s="97"/>
      <c r="Q80" s="23">
        <f t="shared" si="4"/>
        <v>0</v>
      </c>
      <c r="R80" s="96"/>
      <c r="S80" s="97"/>
      <c r="T80" s="97"/>
      <c r="U80" s="23">
        <f t="shared" si="5"/>
        <v>0</v>
      </c>
      <c r="V80" s="24">
        <f t="shared" si="6"/>
        <v>0</v>
      </c>
      <c r="W80" s="25" t="s">
        <v>22</v>
      </c>
      <c r="X80" s="49"/>
      <c r="Y80" s="49"/>
      <c r="Z80" s="49"/>
    </row>
    <row r="81" ht="18.0" customHeight="1">
      <c r="A81" s="95" t="s">
        <v>114</v>
      </c>
      <c r="B81" s="96"/>
      <c r="C81" s="97"/>
      <c r="D81" s="97"/>
      <c r="E81" s="23">
        <f t="shared" si="1"/>
        <v>0</v>
      </c>
      <c r="F81" s="96"/>
      <c r="G81" s="97"/>
      <c r="H81" s="97"/>
      <c r="I81" s="23">
        <f t="shared" si="2"/>
        <v>0</v>
      </c>
      <c r="J81" s="96"/>
      <c r="K81" s="97"/>
      <c r="L81" s="97"/>
      <c r="M81" s="23">
        <f t="shared" si="3"/>
        <v>0</v>
      </c>
      <c r="N81" s="96"/>
      <c r="O81" s="97"/>
      <c r="P81" s="97"/>
      <c r="Q81" s="23">
        <f t="shared" si="4"/>
        <v>0</v>
      </c>
      <c r="R81" s="96"/>
      <c r="S81" s="97"/>
      <c r="T81" s="97"/>
      <c r="U81" s="23">
        <f t="shared" si="5"/>
        <v>0</v>
      </c>
      <c r="V81" s="24">
        <f t="shared" si="6"/>
        <v>0</v>
      </c>
      <c r="W81" s="25" t="s">
        <v>8</v>
      </c>
      <c r="X81" s="49"/>
      <c r="Z81" s="49"/>
    </row>
    <row r="82">
      <c r="A82" s="95" t="s">
        <v>115</v>
      </c>
      <c r="B82" s="96"/>
      <c r="C82" s="97"/>
      <c r="D82" s="97"/>
      <c r="E82" s="23">
        <f t="shared" si="1"/>
        <v>0</v>
      </c>
      <c r="F82" s="96"/>
      <c r="G82" s="97"/>
      <c r="H82" s="97"/>
      <c r="I82" s="23">
        <f t="shared" si="2"/>
        <v>0</v>
      </c>
      <c r="J82" s="96"/>
      <c r="K82" s="97"/>
      <c r="L82" s="97"/>
      <c r="M82" s="23">
        <f t="shared" si="3"/>
        <v>0</v>
      </c>
      <c r="N82" s="96"/>
      <c r="O82" s="97"/>
      <c r="P82" s="97"/>
      <c r="Q82" s="23">
        <f t="shared" si="4"/>
        <v>0</v>
      </c>
      <c r="R82" s="96"/>
      <c r="S82" s="97"/>
      <c r="T82" s="97"/>
      <c r="U82" s="23">
        <f t="shared" si="5"/>
        <v>0</v>
      </c>
      <c r="V82" s="24">
        <f t="shared" si="6"/>
        <v>0</v>
      </c>
      <c r="W82" s="25" t="s">
        <v>8</v>
      </c>
    </row>
    <row r="83">
      <c r="A83" s="95" t="s">
        <v>116</v>
      </c>
      <c r="B83" s="96"/>
      <c r="C83" s="97"/>
      <c r="D83" s="97"/>
      <c r="E83" s="23">
        <f t="shared" si="1"/>
        <v>0</v>
      </c>
      <c r="F83" s="96"/>
      <c r="G83" s="97"/>
      <c r="H83" s="97"/>
      <c r="I83" s="23">
        <f t="shared" si="2"/>
        <v>0</v>
      </c>
      <c r="J83" s="96"/>
      <c r="K83" s="97"/>
      <c r="L83" s="97"/>
      <c r="M83" s="23">
        <f t="shared" si="3"/>
        <v>0</v>
      </c>
      <c r="N83" s="96"/>
      <c r="O83" s="97"/>
      <c r="P83" s="97"/>
      <c r="Q83" s="23">
        <f t="shared" si="4"/>
        <v>0</v>
      </c>
      <c r="R83" s="96"/>
      <c r="S83" s="97"/>
      <c r="T83" s="97"/>
      <c r="U83" s="23">
        <f t="shared" si="5"/>
        <v>0</v>
      </c>
      <c r="V83" s="24">
        <f t="shared" si="6"/>
        <v>0</v>
      </c>
      <c r="W83" s="25" t="s">
        <v>8</v>
      </c>
    </row>
    <row r="84">
      <c r="A84" s="95" t="s">
        <v>117</v>
      </c>
      <c r="B84" s="98"/>
      <c r="C84" s="97"/>
      <c r="D84" s="97"/>
      <c r="E84" s="23">
        <f t="shared" si="1"/>
        <v>0</v>
      </c>
      <c r="F84" s="96"/>
      <c r="G84" s="97"/>
      <c r="H84" s="97"/>
      <c r="I84" s="23">
        <f t="shared" si="2"/>
        <v>0</v>
      </c>
      <c r="J84" s="96"/>
      <c r="K84" s="97"/>
      <c r="L84" s="97"/>
      <c r="M84" s="23">
        <f t="shared" si="3"/>
        <v>0</v>
      </c>
      <c r="N84" s="96"/>
      <c r="O84" s="97"/>
      <c r="P84" s="97"/>
      <c r="Q84" s="23">
        <f t="shared" si="4"/>
        <v>0</v>
      </c>
      <c r="R84" s="96"/>
      <c r="S84" s="97"/>
      <c r="T84" s="97"/>
      <c r="U84" s="23">
        <f t="shared" si="5"/>
        <v>0</v>
      </c>
      <c r="V84" s="24">
        <f t="shared" si="6"/>
        <v>0</v>
      </c>
      <c r="W84" s="25" t="s">
        <v>8</v>
      </c>
    </row>
    <row r="85">
      <c r="A85" s="100" t="s">
        <v>118</v>
      </c>
      <c r="B85" s="104">
        <f t="shared" ref="B85:D85" si="9">sum(B4:B84)</f>
        <v>4</v>
      </c>
      <c r="C85" s="104">
        <f t="shared" si="9"/>
        <v>0</v>
      </c>
      <c r="D85" s="104">
        <f t="shared" si="9"/>
        <v>0</v>
      </c>
      <c r="E85" s="105"/>
      <c r="F85" s="104">
        <f t="shared" ref="F85:H85" si="10">sum(F4:F84)</f>
        <v>4</v>
      </c>
      <c r="G85" s="104">
        <f t="shared" si="10"/>
        <v>0</v>
      </c>
      <c r="H85" s="104">
        <f t="shared" si="10"/>
        <v>0</v>
      </c>
      <c r="I85" s="105"/>
      <c r="J85" s="104">
        <f t="shared" ref="J85:L85" si="11">sum(J4:J84)</f>
        <v>5</v>
      </c>
      <c r="K85" s="104">
        <f t="shared" si="11"/>
        <v>0</v>
      </c>
      <c r="L85" s="104">
        <f t="shared" si="11"/>
        <v>0</v>
      </c>
      <c r="M85" s="105"/>
      <c r="N85" s="104">
        <f t="shared" ref="N85:P85" si="12">sum(N4:N84)</f>
        <v>5</v>
      </c>
      <c r="O85" s="104">
        <f t="shared" si="12"/>
        <v>0</v>
      </c>
      <c r="P85" s="104">
        <f t="shared" si="12"/>
        <v>7</v>
      </c>
      <c r="Q85" s="105"/>
      <c r="R85" s="104">
        <f t="shared" ref="R85:T85" si="13">sum(R4:R84)</f>
        <v>7</v>
      </c>
      <c r="S85" s="104">
        <f t="shared" si="13"/>
        <v>0</v>
      </c>
      <c r="T85" s="104">
        <f t="shared" si="13"/>
        <v>2</v>
      </c>
      <c r="U85" s="105"/>
    </row>
    <row r="86">
      <c r="A86" s="106" t="s">
        <v>119</v>
      </c>
      <c r="B86" s="118">
        <v>0.0</v>
      </c>
      <c r="C86" s="111"/>
      <c r="D86" s="111"/>
      <c r="E86" s="112"/>
      <c r="F86" s="110">
        <v>0.0</v>
      </c>
      <c r="G86" s="111"/>
      <c r="H86" s="111"/>
      <c r="I86" s="112"/>
      <c r="J86" s="110">
        <v>0.0</v>
      </c>
      <c r="K86" s="111"/>
      <c r="L86" s="111"/>
      <c r="M86" s="112"/>
      <c r="N86" s="110">
        <v>5.0</v>
      </c>
      <c r="O86" s="111"/>
      <c r="P86" s="111"/>
      <c r="Q86" s="112"/>
      <c r="R86" s="110">
        <v>2.0</v>
      </c>
      <c r="S86" s="111"/>
      <c r="T86" s="111"/>
      <c r="U86" s="112"/>
    </row>
  </sheetData>
  <mergeCells count="17">
    <mergeCell ref="B1:E2"/>
    <mergeCell ref="F1:I2"/>
    <mergeCell ref="J1:M2"/>
    <mergeCell ref="N1:Q2"/>
    <mergeCell ref="R1:U2"/>
    <mergeCell ref="AG5:AI5"/>
    <mergeCell ref="Y13:AE13"/>
    <mergeCell ref="J86:M86"/>
    <mergeCell ref="N86:Q86"/>
    <mergeCell ref="Y21:AC21"/>
    <mergeCell ref="Y32:AC32"/>
    <mergeCell ref="Y42:AC42"/>
    <mergeCell ref="Y52:AC52"/>
    <mergeCell ref="Y62:AC62"/>
    <mergeCell ref="B86:E86"/>
    <mergeCell ref="F86:I86"/>
    <mergeCell ref="R86:U86"/>
  </mergeCells>
  <dataValidations>
    <dataValidation type="list" allowBlank="1" showErrorMessage="1" sqref="W4:W84">
      <formula1>"Academics,Referral,Financial,Mental Health and Wellness,Other"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51.63"/>
    <col customWidth="1" min="2" max="2" width="7.0"/>
    <col customWidth="1" min="3" max="3" width="6.88"/>
    <col customWidth="1" min="4" max="4" width="7.25"/>
    <col customWidth="1" min="5" max="5" width="9.5"/>
    <col customWidth="1" min="6" max="6" width="7.0"/>
    <col customWidth="1" min="7" max="7" width="6.88"/>
    <col customWidth="1" min="8" max="8" width="7.25"/>
    <col customWidth="1" min="9" max="9" width="9.5"/>
    <col customWidth="1" min="10" max="10" width="7.0"/>
    <col customWidth="1" min="11" max="11" width="6.88"/>
    <col customWidth="1" min="12" max="12" width="7.25"/>
    <col customWidth="1" min="13" max="13" width="9.5"/>
    <col customWidth="1" min="14" max="14" width="7.0"/>
    <col customWidth="1" min="15" max="15" width="6.88"/>
    <col customWidth="1" min="16" max="16" width="7.25"/>
    <col customWidth="1" min="17" max="17" width="9.5"/>
    <col customWidth="1" min="18" max="18" width="7.0"/>
    <col customWidth="1" min="19" max="19" width="6.88"/>
    <col customWidth="1" min="20" max="20" width="7.25"/>
    <col customWidth="1" min="21" max="21" width="9.5"/>
    <col customWidth="1" min="22" max="22" width="16.63"/>
    <col customWidth="1" min="23" max="23" width="21.38"/>
    <col customWidth="1" min="25" max="25" width="22.88"/>
    <col customWidth="1" min="26" max="26" width="24.5"/>
    <col customWidth="1" min="27" max="27" width="13.63"/>
    <col customWidth="1" min="33" max="33" width="15.38"/>
    <col customWidth="1" min="34" max="34" width="37.38"/>
  </cols>
  <sheetData>
    <row r="1">
      <c r="A1" s="1"/>
      <c r="B1" s="5">
        <v>45348.0</v>
      </c>
      <c r="C1" s="3"/>
      <c r="D1" s="3"/>
      <c r="E1" s="4"/>
      <c r="F1" s="5">
        <v>45349.0</v>
      </c>
      <c r="G1" s="3"/>
      <c r="H1" s="3"/>
      <c r="I1" s="4"/>
      <c r="J1" s="5">
        <v>45350.0</v>
      </c>
      <c r="K1" s="3"/>
      <c r="L1" s="3"/>
      <c r="M1" s="4"/>
      <c r="N1" s="5">
        <v>45351.0</v>
      </c>
      <c r="O1" s="3"/>
      <c r="P1" s="3"/>
      <c r="Q1" s="4"/>
      <c r="R1" s="2"/>
      <c r="S1" s="3"/>
      <c r="T1" s="3"/>
      <c r="U1" s="4"/>
    </row>
    <row r="2">
      <c r="A2" s="1"/>
      <c r="B2" s="6"/>
      <c r="C2" s="7"/>
      <c r="D2" s="7"/>
      <c r="E2" s="8"/>
      <c r="F2" s="6"/>
      <c r="G2" s="7"/>
      <c r="H2" s="7"/>
      <c r="I2" s="8"/>
      <c r="J2" s="6"/>
      <c r="K2" s="7"/>
      <c r="L2" s="7"/>
      <c r="M2" s="8"/>
      <c r="N2" s="6"/>
      <c r="O2" s="7"/>
      <c r="P2" s="7"/>
      <c r="Q2" s="8"/>
      <c r="R2" s="6"/>
      <c r="S2" s="7"/>
      <c r="T2" s="7"/>
      <c r="U2" s="8"/>
    </row>
    <row r="3" ht="18.0" customHeight="1">
      <c r="A3" s="9" t="s">
        <v>0</v>
      </c>
      <c r="B3" s="10" t="s">
        <v>1</v>
      </c>
      <c r="C3" s="11" t="s">
        <v>2</v>
      </c>
      <c r="D3" s="12" t="s">
        <v>3</v>
      </c>
      <c r="E3" s="13" t="s">
        <v>4</v>
      </c>
      <c r="F3" s="10" t="s">
        <v>1</v>
      </c>
      <c r="G3" s="11" t="s">
        <v>2</v>
      </c>
      <c r="H3" s="12" t="s">
        <v>3</v>
      </c>
      <c r="I3" s="13" t="s">
        <v>4</v>
      </c>
      <c r="J3" s="10" t="s">
        <v>1</v>
      </c>
      <c r="K3" s="11" t="s">
        <v>2</v>
      </c>
      <c r="L3" s="12" t="s">
        <v>3</v>
      </c>
      <c r="M3" s="13" t="s">
        <v>4</v>
      </c>
      <c r="N3" s="10" t="s">
        <v>1</v>
      </c>
      <c r="O3" s="11" t="s">
        <v>2</v>
      </c>
      <c r="P3" s="12" t="s">
        <v>3</v>
      </c>
      <c r="Q3" s="13" t="s">
        <v>4</v>
      </c>
      <c r="R3" s="10" t="s">
        <v>1</v>
      </c>
      <c r="S3" s="11" t="s">
        <v>2</v>
      </c>
      <c r="T3" s="12" t="s">
        <v>3</v>
      </c>
      <c r="U3" s="13" t="s">
        <v>4</v>
      </c>
      <c r="V3" s="14" t="s">
        <v>5</v>
      </c>
      <c r="W3" s="15" t="s">
        <v>6</v>
      </c>
    </row>
    <row r="4">
      <c r="A4" s="16" t="s">
        <v>7</v>
      </c>
      <c r="B4" s="113">
        <v>1.0</v>
      </c>
      <c r="C4" s="22"/>
      <c r="D4" s="117">
        <v>1.0</v>
      </c>
      <c r="E4" s="23">
        <f t="shared" ref="E4:E84" si="1">sum(B4:D4)</f>
        <v>2</v>
      </c>
      <c r="F4" s="113">
        <v>1.0</v>
      </c>
      <c r="G4" s="22"/>
      <c r="H4" s="117">
        <v>1.0</v>
      </c>
      <c r="I4" s="23">
        <f t="shared" ref="I4:I84" si="2">sum(F4:H4)</f>
        <v>2</v>
      </c>
      <c r="J4" s="21"/>
      <c r="K4" s="22"/>
      <c r="L4" s="22"/>
      <c r="M4" s="23">
        <f t="shared" ref="M4:M84" si="3">sum(J4:L4)</f>
        <v>0</v>
      </c>
      <c r="N4" s="21"/>
      <c r="O4" s="22"/>
      <c r="P4" s="117">
        <v>5.0</v>
      </c>
      <c r="Q4" s="23">
        <f t="shared" ref="Q4:Q84" si="4">sum(N4:P4)</f>
        <v>5</v>
      </c>
      <c r="R4" s="20"/>
      <c r="S4" s="18"/>
      <c r="T4" s="18"/>
      <c r="U4" s="19">
        <f t="shared" ref="U4:U84" si="5">sum(R4:T4)</f>
        <v>0</v>
      </c>
      <c r="V4" s="24">
        <f t="shared" ref="V4:V84" si="6">sum(E4,I4,M4,Q4,U4)</f>
        <v>9</v>
      </c>
      <c r="W4" s="25" t="s">
        <v>8</v>
      </c>
    </row>
    <row r="5">
      <c r="A5" s="26" t="s">
        <v>9</v>
      </c>
      <c r="B5" s="30"/>
      <c r="C5" s="31"/>
      <c r="D5" s="64">
        <v>2.0</v>
      </c>
      <c r="E5" s="23">
        <f t="shared" si="1"/>
        <v>2</v>
      </c>
      <c r="F5" s="38">
        <v>2.0</v>
      </c>
      <c r="G5" s="31"/>
      <c r="H5" s="64">
        <v>4.0</v>
      </c>
      <c r="I5" s="23">
        <f t="shared" si="2"/>
        <v>6</v>
      </c>
      <c r="J5" s="38">
        <v>3.0</v>
      </c>
      <c r="K5" s="31"/>
      <c r="L5" s="64">
        <v>2.0</v>
      </c>
      <c r="M5" s="23">
        <f t="shared" si="3"/>
        <v>5</v>
      </c>
      <c r="N5" s="38">
        <v>1.0</v>
      </c>
      <c r="O5" s="31"/>
      <c r="P5" s="64">
        <v>2.0</v>
      </c>
      <c r="Q5" s="23">
        <f t="shared" si="4"/>
        <v>3</v>
      </c>
      <c r="R5" s="27"/>
      <c r="S5" s="28"/>
      <c r="T5" s="28"/>
      <c r="U5" s="29">
        <f t="shared" si="5"/>
        <v>0</v>
      </c>
      <c r="V5" s="24">
        <f t="shared" si="6"/>
        <v>16</v>
      </c>
      <c r="W5" s="25" t="s">
        <v>8</v>
      </c>
      <c r="Y5" s="32" t="s">
        <v>10</v>
      </c>
      <c r="Z5" s="33" t="s">
        <v>11</v>
      </c>
      <c r="AB5" s="34"/>
      <c r="AG5" s="35" t="s">
        <v>12</v>
      </c>
      <c r="AH5" s="36"/>
      <c r="AI5" s="37"/>
    </row>
    <row r="6">
      <c r="A6" s="26" t="s">
        <v>13</v>
      </c>
      <c r="B6" s="30"/>
      <c r="C6" s="31"/>
      <c r="D6" s="31"/>
      <c r="E6" s="23">
        <f t="shared" si="1"/>
        <v>0</v>
      </c>
      <c r="F6" s="30"/>
      <c r="G6" s="31"/>
      <c r="H6" s="64"/>
      <c r="I6" s="23">
        <f t="shared" si="2"/>
        <v>0</v>
      </c>
      <c r="J6" s="30"/>
      <c r="K6" s="31"/>
      <c r="L6" s="31"/>
      <c r="M6" s="23">
        <f t="shared" si="3"/>
        <v>0</v>
      </c>
      <c r="N6" s="30"/>
      <c r="O6" s="31"/>
      <c r="P6" s="31"/>
      <c r="Q6" s="23">
        <f t="shared" si="4"/>
        <v>0</v>
      </c>
      <c r="R6" s="27"/>
      <c r="S6" s="28"/>
      <c r="T6" s="28"/>
      <c r="U6" s="29">
        <f t="shared" si="5"/>
        <v>0</v>
      </c>
      <c r="V6" s="24">
        <f t="shared" si="6"/>
        <v>0</v>
      </c>
      <c r="W6" s="25" t="s">
        <v>8</v>
      </c>
      <c r="Y6" s="39" t="s">
        <v>14</v>
      </c>
      <c r="Z6" s="40">
        <f>SUMIF(W:W,"Academics",V:V)</f>
        <v>93</v>
      </c>
      <c r="AG6" s="41"/>
      <c r="AH6" s="42" t="s">
        <v>15</v>
      </c>
      <c r="AI6" s="42" t="s">
        <v>16</v>
      </c>
    </row>
    <row r="7">
      <c r="A7" s="26" t="s">
        <v>17</v>
      </c>
      <c r="B7" s="30"/>
      <c r="C7" s="31"/>
      <c r="D7" s="64">
        <v>1.0</v>
      </c>
      <c r="E7" s="23">
        <f t="shared" si="1"/>
        <v>1</v>
      </c>
      <c r="F7" s="30"/>
      <c r="G7" s="31"/>
      <c r="H7" s="64">
        <v>1.0</v>
      </c>
      <c r="I7" s="23">
        <f t="shared" si="2"/>
        <v>1</v>
      </c>
      <c r="J7" s="30"/>
      <c r="K7" s="31"/>
      <c r="L7" s="64">
        <v>1.0</v>
      </c>
      <c r="M7" s="23">
        <f t="shared" si="3"/>
        <v>1</v>
      </c>
      <c r="N7" s="38">
        <v>1.0</v>
      </c>
      <c r="O7" s="31"/>
      <c r="P7" s="31"/>
      <c r="Q7" s="23">
        <f t="shared" si="4"/>
        <v>1</v>
      </c>
      <c r="R7" s="27"/>
      <c r="S7" s="28"/>
      <c r="T7" s="28"/>
      <c r="U7" s="29">
        <f t="shared" si="5"/>
        <v>0</v>
      </c>
      <c r="V7" s="24">
        <f t="shared" si="6"/>
        <v>4</v>
      </c>
      <c r="W7" s="25" t="s">
        <v>8</v>
      </c>
      <c r="Y7" s="43" t="s">
        <v>18</v>
      </c>
      <c r="Z7" s="44">
        <f>SUMIF(W:W,"Referral",V:V)</f>
        <v>27</v>
      </c>
      <c r="AG7" s="45">
        <v>1.0</v>
      </c>
      <c r="AH7" s="46" t="str">
        <f t="array" ref="AH7">IFERROR(TEXTJOIN(", ", TRUE, IF($V$4:$V$84=AI7, $A$4:$A$84, "")), "")
</f>
        <v>Academic Consideration Requests (ACRs) - Missing Classes</v>
      </c>
      <c r="AI7" s="47">
        <f>LARGE($V$4:$V$84,1)</f>
        <v>16</v>
      </c>
    </row>
    <row r="8">
      <c r="A8" s="26" t="s">
        <v>19</v>
      </c>
      <c r="B8" s="30"/>
      <c r="C8" s="31"/>
      <c r="D8" s="64">
        <v>1.0</v>
      </c>
      <c r="E8" s="23">
        <f t="shared" si="1"/>
        <v>1</v>
      </c>
      <c r="F8" s="30"/>
      <c r="G8" s="31"/>
      <c r="H8" s="31"/>
      <c r="I8" s="23">
        <f t="shared" si="2"/>
        <v>0</v>
      </c>
      <c r="J8" s="30"/>
      <c r="K8" s="31"/>
      <c r="L8" s="31"/>
      <c r="M8" s="23">
        <f t="shared" si="3"/>
        <v>0</v>
      </c>
      <c r="N8" s="30"/>
      <c r="O8" s="31"/>
      <c r="P8" s="31"/>
      <c r="Q8" s="23">
        <f t="shared" si="4"/>
        <v>0</v>
      </c>
      <c r="R8" s="27"/>
      <c r="S8" s="28"/>
      <c r="T8" s="28"/>
      <c r="U8" s="29">
        <f t="shared" si="5"/>
        <v>0</v>
      </c>
      <c r="V8" s="24">
        <f t="shared" si="6"/>
        <v>1</v>
      </c>
      <c r="W8" s="25" t="s">
        <v>8</v>
      </c>
      <c r="Y8" s="43" t="s">
        <v>20</v>
      </c>
      <c r="Z8" s="44">
        <f>SUMIF(W:W,"Financial",V:V)</f>
        <v>3</v>
      </c>
      <c r="AG8" s="45">
        <v>2.0</v>
      </c>
      <c r="AH8" s="46" t="str">
        <f t="array" ref="AH8">IFERROR(TEXTJOIN(", ", TRUE, IF($V$4:$V$84=AI8, $A$4:$A$84, "")), "")
</f>
        <v>Course Drop</v>
      </c>
      <c r="AI8" s="46">
        <f t="array" ref="AI8">LARGE(IF($V$4:$V$84&lt;&gt;MAX($AI$7:AI7),$V$4:$V$84),1)</f>
        <v>13</v>
      </c>
    </row>
    <row r="9">
      <c r="A9" s="26" t="s">
        <v>21</v>
      </c>
      <c r="B9" s="30"/>
      <c r="C9" s="31"/>
      <c r="D9" s="64">
        <v>1.0</v>
      </c>
      <c r="E9" s="23">
        <f t="shared" si="1"/>
        <v>1</v>
      </c>
      <c r="F9" s="30"/>
      <c r="G9" s="31"/>
      <c r="H9" s="31"/>
      <c r="I9" s="23">
        <f t="shared" si="2"/>
        <v>0</v>
      </c>
      <c r="J9" s="30"/>
      <c r="K9" s="31"/>
      <c r="L9" s="31"/>
      <c r="M9" s="23">
        <f t="shared" si="3"/>
        <v>0</v>
      </c>
      <c r="N9" s="30"/>
      <c r="O9" s="31"/>
      <c r="P9" s="31"/>
      <c r="Q9" s="23">
        <f t="shared" si="4"/>
        <v>0</v>
      </c>
      <c r="R9" s="27"/>
      <c r="S9" s="28"/>
      <c r="T9" s="28"/>
      <c r="U9" s="29">
        <f t="shared" si="5"/>
        <v>0</v>
      </c>
      <c r="V9" s="24">
        <f t="shared" si="6"/>
        <v>1</v>
      </c>
      <c r="W9" s="25" t="s">
        <v>22</v>
      </c>
      <c r="Y9" s="48" t="s">
        <v>23</v>
      </c>
      <c r="Z9" s="40">
        <f>SUMIF(W:W, "Mental Health and Wellness", V:V)</f>
        <v>1</v>
      </c>
      <c r="AG9" s="45">
        <v>3.0</v>
      </c>
      <c r="AH9" s="46" t="str">
        <f t="array" ref="AH9">IFERROR(TEXTJOIN(", ", TRUE, IF($V$4:$V$84=AI9, $A$4:$A$84, "")), "")
</f>
        <v>Chang School</v>
      </c>
      <c r="AI9" s="46">
        <f t="array" ref="AI9">LARGE(IF($V$4:$V$84&lt;&gt;MAX($AI$7:AI7),IF($V$4:$V$84&lt;&gt;MAX($AI$8:AI8),$V$4:$V$84)),1)</f>
        <v>10</v>
      </c>
    </row>
    <row r="10">
      <c r="A10" s="26" t="s">
        <v>24</v>
      </c>
      <c r="B10" s="30"/>
      <c r="C10" s="31"/>
      <c r="D10" s="31"/>
      <c r="E10" s="23">
        <f t="shared" si="1"/>
        <v>0</v>
      </c>
      <c r="F10" s="30"/>
      <c r="G10" s="31"/>
      <c r="H10" s="31"/>
      <c r="I10" s="23">
        <f t="shared" si="2"/>
        <v>0</v>
      </c>
      <c r="J10" s="30"/>
      <c r="K10" s="31"/>
      <c r="L10" s="31"/>
      <c r="M10" s="23">
        <f t="shared" si="3"/>
        <v>0</v>
      </c>
      <c r="N10" s="30"/>
      <c r="O10" s="31"/>
      <c r="P10" s="31"/>
      <c r="Q10" s="23">
        <f t="shared" si="4"/>
        <v>0</v>
      </c>
      <c r="R10" s="27"/>
      <c r="S10" s="28"/>
      <c r="T10" s="28"/>
      <c r="U10" s="29">
        <f t="shared" si="5"/>
        <v>0</v>
      </c>
      <c r="V10" s="24">
        <f t="shared" si="6"/>
        <v>0</v>
      </c>
      <c r="W10" s="25" t="s">
        <v>8</v>
      </c>
      <c r="Y10" s="48" t="s">
        <v>25</v>
      </c>
      <c r="Z10" s="40">
        <f>SUMIF(W:W, "Other", V:V)</f>
        <v>8</v>
      </c>
      <c r="AG10" s="45">
        <v>4.0</v>
      </c>
      <c r="AH10" s="46" t="str">
        <f t="array" ref="AH10">IFERROR(TEXTJOIN(", ", TRUE, IF($V$4:$V$84=AI10, $A$4:$A$84, "")), "")
</f>
        <v>Academic Advising Appointments, Engineering Program Transition Courses</v>
      </c>
      <c r="AI10" s="46">
        <f t="array" ref="AI10">LARGE(IF($V$4:$V$84&lt;&gt;MAX($AI$7:AI7), IF($V$4:$V$84&lt;&gt;MAX($AI$8:AI8), IF($V$4:$V$84&lt;&gt;MAX($AI$9:AI9), $V$4:$V$84))), 1)</f>
        <v>9</v>
      </c>
    </row>
    <row r="11">
      <c r="A11" s="26" t="s">
        <v>26</v>
      </c>
      <c r="B11" s="38">
        <v>1.0</v>
      </c>
      <c r="C11" s="31"/>
      <c r="D11" s="31"/>
      <c r="E11" s="23">
        <f t="shared" si="1"/>
        <v>1</v>
      </c>
      <c r="F11" s="38">
        <v>1.0</v>
      </c>
      <c r="G11" s="31"/>
      <c r="H11" s="31"/>
      <c r="I11" s="23">
        <f t="shared" si="2"/>
        <v>1</v>
      </c>
      <c r="J11" s="30"/>
      <c r="K11" s="31"/>
      <c r="L11" s="31"/>
      <c r="M11" s="23">
        <f t="shared" si="3"/>
        <v>0</v>
      </c>
      <c r="N11" s="38">
        <v>1.0</v>
      </c>
      <c r="O11" s="31"/>
      <c r="P11" s="31"/>
      <c r="Q11" s="23">
        <f t="shared" si="4"/>
        <v>1</v>
      </c>
      <c r="R11" s="27"/>
      <c r="S11" s="28"/>
      <c r="T11" s="28"/>
      <c r="U11" s="29">
        <f t="shared" si="5"/>
        <v>0</v>
      </c>
      <c r="V11" s="24">
        <f t="shared" si="6"/>
        <v>3</v>
      </c>
      <c r="W11" s="25" t="s">
        <v>22</v>
      </c>
      <c r="Y11" s="49"/>
      <c r="Z11" s="50"/>
      <c r="AG11" s="45">
        <v>5.0</v>
      </c>
      <c r="AH11" s="46" t="str">
        <f t="array" ref="AH11">IFERROR(TEXTJOIN(", ", TRUE, IF($V$4:$V$84=AI11, $A$4:$A$84, "")), "")
</f>
        <v>Course Enrollment , Exams/Mid-Terms</v>
      </c>
      <c r="AI11" s="46">
        <f t="array" ref="AI11">LARGE(IF($V$4:$V$84&lt;&gt;MAX($AI$7:AI7), IF($V$4:$V$84&lt;&gt;MAX($AI$8:AI8), IF($V$4:$V$84&lt;&gt;MAX($AI$9:AI9), IF($V$4:$V$84&lt;&gt;MAX($AI$10:AI10), $V$4:$V$84)))), 1)</f>
        <v>7</v>
      </c>
    </row>
    <row r="12">
      <c r="A12" s="26" t="s">
        <v>27</v>
      </c>
      <c r="B12" s="30"/>
      <c r="C12" s="31"/>
      <c r="D12" s="31"/>
      <c r="E12" s="23">
        <f t="shared" si="1"/>
        <v>0</v>
      </c>
      <c r="F12" s="38">
        <v>1.0</v>
      </c>
      <c r="G12" s="31"/>
      <c r="H12" s="31"/>
      <c r="I12" s="23">
        <f t="shared" si="2"/>
        <v>1</v>
      </c>
      <c r="J12" s="30"/>
      <c r="K12" s="31"/>
      <c r="L12" s="31"/>
      <c r="M12" s="23">
        <f t="shared" si="3"/>
        <v>0</v>
      </c>
      <c r="N12" s="30"/>
      <c r="O12" s="31"/>
      <c r="P12" s="31"/>
      <c r="Q12" s="23">
        <f t="shared" si="4"/>
        <v>0</v>
      </c>
      <c r="R12" s="27"/>
      <c r="S12" s="28"/>
      <c r="T12" s="28"/>
      <c r="U12" s="29">
        <f t="shared" si="5"/>
        <v>0</v>
      </c>
      <c r="V12" s="24">
        <f t="shared" si="6"/>
        <v>1</v>
      </c>
      <c r="W12" s="25" t="s">
        <v>22</v>
      </c>
      <c r="Y12" s="25"/>
      <c r="Z12" s="50"/>
    </row>
    <row r="13">
      <c r="A13" s="26" t="s">
        <v>28</v>
      </c>
      <c r="B13" s="30"/>
      <c r="C13" s="31"/>
      <c r="D13" s="31"/>
      <c r="E13" s="23">
        <f t="shared" si="1"/>
        <v>0</v>
      </c>
      <c r="F13" s="30"/>
      <c r="G13" s="31"/>
      <c r="H13" s="31"/>
      <c r="I13" s="23">
        <f t="shared" si="2"/>
        <v>0</v>
      </c>
      <c r="J13" s="30"/>
      <c r="K13" s="31"/>
      <c r="L13" s="31"/>
      <c r="M13" s="23">
        <f t="shared" si="3"/>
        <v>0</v>
      </c>
      <c r="N13" s="30"/>
      <c r="O13" s="31"/>
      <c r="P13" s="31"/>
      <c r="Q13" s="23">
        <f t="shared" si="4"/>
        <v>0</v>
      </c>
      <c r="R13" s="27"/>
      <c r="S13" s="28"/>
      <c r="T13" s="28"/>
      <c r="U13" s="29">
        <f t="shared" si="5"/>
        <v>0</v>
      </c>
      <c r="V13" s="24">
        <f t="shared" si="6"/>
        <v>0</v>
      </c>
      <c r="W13" s="25" t="s">
        <v>22</v>
      </c>
      <c r="Y13" s="51" t="s">
        <v>29</v>
      </c>
      <c r="Z13" s="52"/>
      <c r="AA13" s="52"/>
      <c r="AB13" s="52"/>
      <c r="AC13" s="52"/>
      <c r="AD13" s="52"/>
      <c r="AE13" s="53"/>
    </row>
    <row r="14">
      <c r="A14" s="26" t="s">
        <v>30</v>
      </c>
      <c r="B14" s="30"/>
      <c r="C14" s="31"/>
      <c r="D14" s="31"/>
      <c r="E14" s="23">
        <f t="shared" si="1"/>
        <v>0</v>
      </c>
      <c r="F14" s="30"/>
      <c r="G14" s="31"/>
      <c r="H14" s="64">
        <v>1.0</v>
      </c>
      <c r="I14" s="23">
        <f t="shared" si="2"/>
        <v>1</v>
      </c>
      <c r="J14" s="30"/>
      <c r="K14" s="31"/>
      <c r="L14" s="31"/>
      <c r="M14" s="23">
        <f t="shared" si="3"/>
        <v>0</v>
      </c>
      <c r="N14" s="30"/>
      <c r="O14" s="31"/>
      <c r="P14" s="31"/>
      <c r="Q14" s="23">
        <f t="shared" si="4"/>
        <v>0</v>
      </c>
      <c r="R14" s="27"/>
      <c r="S14" s="28"/>
      <c r="T14" s="28"/>
      <c r="U14" s="29">
        <f t="shared" si="5"/>
        <v>0</v>
      </c>
      <c r="V14" s="24">
        <f t="shared" si="6"/>
        <v>1</v>
      </c>
      <c r="W14" s="25" t="s">
        <v>22</v>
      </c>
      <c r="X14" s="49"/>
      <c r="Y14" s="54"/>
      <c r="Z14" s="55" t="s">
        <v>31</v>
      </c>
      <c r="AA14" s="55" t="s">
        <v>32</v>
      </c>
      <c r="AB14" s="56" t="s">
        <v>33</v>
      </c>
      <c r="AC14" s="55" t="s">
        <v>34</v>
      </c>
      <c r="AD14" s="57" t="s">
        <v>35</v>
      </c>
      <c r="AE14" s="58" t="s">
        <v>36</v>
      </c>
    </row>
    <row r="15">
      <c r="A15" s="26" t="s">
        <v>37</v>
      </c>
      <c r="B15" s="30"/>
      <c r="C15" s="31"/>
      <c r="D15" s="64">
        <v>1.0</v>
      </c>
      <c r="E15" s="23">
        <f t="shared" si="1"/>
        <v>1</v>
      </c>
      <c r="F15" s="30"/>
      <c r="G15" s="31"/>
      <c r="H15" s="31"/>
      <c r="I15" s="23">
        <f t="shared" si="2"/>
        <v>0</v>
      </c>
      <c r="J15" s="30"/>
      <c r="K15" s="31"/>
      <c r="L15" s="31"/>
      <c r="M15" s="23">
        <f t="shared" si="3"/>
        <v>0</v>
      </c>
      <c r="N15" s="30"/>
      <c r="O15" s="31"/>
      <c r="P15" s="31"/>
      <c r="Q15" s="23">
        <f t="shared" si="4"/>
        <v>0</v>
      </c>
      <c r="R15" s="27"/>
      <c r="S15" s="28"/>
      <c r="T15" s="28"/>
      <c r="U15" s="29">
        <f t="shared" si="5"/>
        <v>0</v>
      </c>
      <c r="V15" s="24">
        <f t="shared" si="6"/>
        <v>1</v>
      </c>
      <c r="W15" s="25" t="s">
        <v>22</v>
      </c>
      <c r="X15" s="25"/>
      <c r="Y15" s="59" t="s">
        <v>1</v>
      </c>
      <c r="Z15" s="60">
        <f>B85</f>
        <v>8</v>
      </c>
      <c r="AA15" s="60">
        <f>F85</f>
        <v>15</v>
      </c>
      <c r="AB15" s="60">
        <f>J85</f>
        <v>17</v>
      </c>
      <c r="AC15" s="60">
        <f>N85</f>
        <v>13</v>
      </c>
      <c r="AD15" s="60">
        <f>R85</f>
        <v>0</v>
      </c>
      <c r="AE15" s="61">
        <f t="shared" ref="AE15:AE18" si="7">sum(Z15:AD15)</f>
        <v>53</v>
      </c>
    </row>
    <row r="16">
      <c r="A16" s="26" t="s">
        <v>38</v>
      </c>
      <c r="B16" s="30"/>
      <c r="C16" s="31"/>
      <c r="D16" s="31"/>
      <c r="E16" s="23">
        <f t="shared" si="1"/>
        <v>0</v>
      </c>
      <c r="F16" s="30"/>
      <c r="G16" s="31"/>
      <c r="H16" s="31"/>
      <c r="I16" s="23">
        <f t="shared" si="2"/>
        <v>0</v>
      </c>
      <c r="J16" s="30"/>
      <c r="K16" s="31"/>
      <c r="L16" s="31"/>
      <c r="M16" s="23">
        <f t="shared" si="3"/>
        <v>0</v>
      </c>
      <c r="N16" s="30"/>
      <c r="O16" s="31"/>
      <c r="P16" s="31"/>
      <c r="Q16" s="23">
        <f t="shared" si="4"/>
        <v>0</v>
      </c>
      <c r="R16" s="27"/>
      <c r="S16" s="28"/>
      <c r="T16" s="28"/>
      <c r="U16" s="29">
        <f t="shared" si="5"/>
        <v>0</v>
      </c>
      <c r="V16" s="24">
        <f t="shared" si="6"/>
        <v>0</v>
      </c>
      <c r="W16" s="25" t="s">
        <v>8</v>
      </c>
      <c r="X16" s="49"/>
      <c r="Y16" s="59" t="s">
        <v>39</v>
      </c>
      <c r="Z16" s="60">
        <f>C85</f>
        <v>0</v>
      </c>
      <c r="AA16" s="60">
        <f>G85</f>
        <v>0</v>
      </c>
      <c r="AB16" s="60">
        <f>K85</f>
        <v>0</v>
      </c>
      <c r="AC16" s="62">
        <f>O85</f>
        <v>0</v>
      </c>
      <c r="AD16" s="62">
        <f>S85</f>
        <v>0</v>
      </c>
      <c r="AE16" s="61">
        <f t="shared" si="7"/>
        <v>0</v>
      </c>
    </row>
    <row r="17">
      <c r="A17" s="26" t="s">
        <v>40</v>
      </c>
      <c r="B17" s="38"/>
      <c r="C17" s="31"/>
      <c r="D17" s="64">
        <v>1.0</v>
      </c>
      <c r="E17" s="23">
        <f t="shared" si="1"/>
        <v>1</v>
      </c>
      <c r="F17" s="38">
        <v>1.0</v>
      </c>
      <c r="G17" s="31"/>
      <c r="H17" s="64">
        <v>3.0</v>
      </c>
      <c r="I17" s="23">
        <f t="shared" si="2"/>
        <v>4</v>
      </c>
      <c r="J17" s="38">
        <v>1.0</v>
      </c>
      <c r="K17" s="31"/>
      <c r="L17" s="64">
        <v>1.0</v>
      </c>
      <c r="M17" s="23">
        <f t="shared" si="3"/>
        <v>2</v>
      </c>
      <c r="N17" s="38">
        <v>2.0</v>
      </c>
      <c r="O17" s="31"/>
      <c r="P17" s="64">
        <v>1.0</v>
      </c>
      <c r="Q17" s="23">
        <f t="shared" si="4"/>
        <v>3</v>
      </c>
      <c r="R17" s="27"/>
      <c r="S17" s="28"/>
      <c r="T17" s="28"/>
      <c r="U17" s="29">
        <f t="shared" si="5"/>
        <v>0</v>
      </c>
      <c r="V17" s="24">
        <f t="shared" si="6"/>
        <v>10</v>
      </c>
      <c r="W17" s="25" t="s">
        <v>22</v>
      </c>
      <c r="X17" s="49"/>
      <c r="Y17" s="59" t="s">
        <v>41</v>
      </c>
      <c r="Z17" s="60">
        <f>B86</f>
        <v>22</v>
      </c>
      <c r="AA17" s="65">
        <f>F86</f>
        <v>23</v>
      </c>
      <c r="AB17" s="60">
        <f>J86</f>
        <v>15</v>
      </c>
      <c r="AC17" s="62">
        <f>N86</f>
        <v>12</v>
      </c>
      <c r="AD17" s="62" t="str">
        <f>R86</f>
        <v/>
      </c>
      <c r="AE17" s="66">
        <f t="shared" si="7"/>
        <v>72</v>
      </c>
    </row>
    <row r="18">
      <c r="A18" s="26" t="s">
        <v>42</v>
      </c>
      <c r="B18" s="30"/>
      <c r="C18" s="31"/>
      <c r="D18" s="31"/>
      <c r="E18" s="23">
        <f t="shared" si="1"/>
        <v>0</v>
      </c>
      <c r="F18" s="30"/>
      <c r="G18" s="31"/>
      <c r="H18" s="31"/>
      <c r="I18" s="23">
        <f t="shared" si="2"/>
        <v>0</v>
      </c>
      <c r="J18" s="30"/>
      <c r="K18" s="31"/>
      <c r="L18" s="31"/>
      <c r="M18" s="23">
        <f t="shared" si="3"/>
        <v>0</v>
      </c>
      <c r="N18" s="30"/>
      <c r="O18" s="31"/>
      <c r="P18" s="31"/>
      <c r="Q18" s="23">
        <f t="shared" si="4"/>
        <v>0</v>
      </c>
      <c r="R18" s="27"/>
      <c r="S18" s="28"/>
      <c r="T18" s="28"/>
      <c r="U18" s="29">
        <f t="shared" si="5"/>
        <v>0</v>
      </c>
      <c r="V18" s="24">
        <f t="shared" si="6"/>
        <v>0</v>
      </c>
      <c r="W18" s="25" t="s">
        <v>22</v>
      </c>
      <c r="X18" s="49"/>
      <c r="Y18" s="67" t="s">
        <v>43</v>
      </c>
      <c r="Z18" s="68">
        <f t="shared" ref="Z18:AD18" si="8">sum(Z15:Z17)</f>
        <v>30</v>
      </c>
      <c r="AA18" s="68">
        <f t="shared" si="8"/>
        <v>38</v>
      </c>
      <c r="AB18" s="68">
        <f t="shared" si="8"/>
        <v>32</v>
      </c>
      <c r="AC18" s="68">
        <f t="shared" si="8"/>
        <v>25</v>
      </c>
      <c r="AD18" s="69">
        <f t="shared" si="8"/>
        <v>0</v>
      </c>
      <c r="AE18" s="68">
        <f t="shared" si="7"/>
        <v>125</v>
      </c>
    </row>
    <row r="19">
      <c r="A19" s="26" t="s">
        <v>44</v>
      </c>
      <c r="B19" s="30"/>
      <c r="C19" s="31"/>
      <c r="D19" s="31"/>
      <c r="E19" s="23">
        <f t="shared" si="1"/>
        <v>0</v>
      </c>
      <c r="F19" s="30"/>
      <c r="G19" s="31"/>
      <c r="H19" s="64">
        <v>1.0</v>
      </c>
      <c r="I19" s="23">
        <f t="shared" si="2"/>
        <v>1</v>
      </c>
      <c r="J19" s="30"/>
      <c r="K19" s="31"/>
      <c r="L19" s="31"/>
      <c r="M19" s="23">
        <f t="shared" si="3"/>
        <v>0</v>
      </c>
      <c r="N19" s="30"/>
      <c r="O19" s="31"/>
      <c r="P19" s="31"/>
      <c r="Q19" s="23">
        <f t="shared" si="4"/>
        <v>0</v>
      </c>
      <c r="R19" s="27"/>
      <c r="S19" s="28"/>
      <c r="T19" s="28"/>
      <c r="U19" s="29">
        <f t="shared" si="5"/>
        <v>0</v>
      </c>
      <c r="V19" s="24">
        <f t="shared" si="6"/>
        <v>1</v>
      </c>
      <c r="W19" s="25" t="s">
        <v>22</v>
      </c>
      <c r="X19" s="25"/>
      <c r="Y19" s="49"/>
      <c r="Z19" s="49"/>
    </row>
    <row r="20">
      <c r="A20" s="70" t="s">
        <v>45</v>
      </c>
      <c r="B20" s="30"/>
      <c r="C20" s="31"/>
      <c r="D20" s="31"/>
      <c r="E20" s="23">
        <f t="shared" si="1"/>
        <v>0</v>
      </c>
      <c r="F20" s="30"/>
      <c r="G20" s="31"/>
      <c r="H20" s="64">
        <v>3.0</v>
      </c>
      <c r="I20" s="23">
        <f t="shared" si="2"/>
        <v>3</v>
      </c>
      <c r="J20" s="30"/>
      <c r="K20" s="31"/>
      <c r="L20" s="31"/>
      <c r="M20" s="23">
        <f t="shared" si="3"/>
        <v>0</v>
      </c>
      <c r="N20" s="30"/>
      <c r="O20" s="31"/>
      <c r="P20" s="31"/>
      <c r="Q20" s="23">
        <f t="shared" si="4"/>
        <v>0</v>
      </c>
      <c r="R20" s="27"/>
      <c r="S20" s="28"/>
      <c r="T20" s="28"/>
      <c r="U20" s="29">
        <f t="shared" si="5"/>
        <v>0</v>
      </c>
      <c r="V20" s="24">
        <f t="shared" si="6"/>
        <v>3</v>
      </c>
      <c r="W20" s="25" t="s">
        <v>22</v>
      </c>
      <c r="X20" s="49"/>
      <c r="Y20" s="49"/>
      <c r="Z20" s="49"/>
    </row>
    <row r="21">
      <c r="A21" s="26" t="s">
        <v>46</v>
      </c>
      <c r="B21" s="30"/>
      <c r="C21" s="31"/>
      <c r="D21" s="31"/>
      <c r="E21" s="23">
        <f t="shared" si="1"/>
        <v>0</v>
      </c>
      <c r="F21" s="30"/>
      <c r="G21" s="31"/>
      <c r="H21" s="31"/>
      <c r="I21" s="23">
        <f t="shared" si="2"/>
        <v>0</v>
      </c>
      <c r="J21" s="30"/>
      <c r="K21" s="31"/>
      <c r="L21" s="31"/>
      <c r="M21" s="23">
        <f t="shared" si="3"/>
        <v>0</v>
      </c>
      <c r="N21" s="30"/>
      <c r="O21" s="31"/>
      <c r="P21" s="31"/>
      <c r="Q21" s="23">
        <f t="shared" si="4"/>
        <v>0</v>
      </c>
      <c r="R21" s="27"/>
      <c r="S21" s="28"/>
      <c r="T21" s="28"/>
      <c r="U21" s="29">
        <f t="shared" si="5"/>
        <v>0</v>
      </c>
      <c r="V21" s="24">
        <f t="shared" si="6"/>
        <v>0</v>
      </c>
      <c r="W21" s="25" t="s">
        <v>23</v>
      </c>
      <c r="X21" s="25"/>
      <c r="Y21" s="71" t="s">
        <v>47</v>
      </c>
      <c r="Z21" s="72"/>
      <c r="AA21" s="72"/>
      <c r="AB21" s="72"/>
      <c r="AC21" s="73"/>
    </row>
    <row r="22">
      <c r="A22" s="26" t="s">
        <v>48</v>
      </c>
      <c r="B22" s="30"/>
      <c r="C22" s="31"/>
      <c r="D22" s="31"/>
      <c r="E22" s="23">
        <f t="shared" si="1"/>
        <v>0</v>
      </c>
      <c r="F22" s="30"/>
      <c r="G22" s="31"/>
      <c r="H22" s="31"/>
      <c r="I22" s="23">
        <f t="shared" si="2"/>
        <v>0</v>
      </c>
      <c r="J22" s="30"/>
      <c r="K22" s="31"/>
      <c r="L22" s="31"/>
      <c r="M22" s="23">
        <f t="shared" si="3"/>
        <v>0</v>
      </c>
      <c r="N22" s="30"/>
      <c r="O22" s="31"/>
      <c r="P22" s="31"/>
      <c r="Q22" s="23">
        <f t="shared" si="4"/>
        <v>0</v>
      </c>
      <c r="R22" s="27"/>
      <c r="S22" s="28"/>
      <c r="T22" s="28"/>
      <c r="U22" s="29">
        <f t="shared" si="5"/>
        <v>0</v>
      </c>
      <c r="V22" s="24">
        <f t="shared" si="6"/>
        <v>0</v>
      </c>
      <c r="W22" s="25" t="s">
        <v>22</v>
      </c>
      <c r="X22" s="49"/>
      <c r="Y22" s="74" t="s">
        <v>49</v>
      </c>
      <c r="Z22" s="75" t="s">
        <v>50</v>
      </c>
      <c r="AA22" s="75" t="s">
        <v>51</v>
      </c>
      <c r="AB22" s="75" t="s">
        <v>2</v>
      </c>
      <c r="AC22" s="75" t="s">
        <v>41</v>
      </c>
    </row>
    <row r="23">
      <c r="A23" s="70" t="s">
        <v>52</v>
      </c>
      <c r="B23" s="38">
        <v>1.0</v>
      </c>
      <c r="C23" s="31"/>
      <c r="D23" s="64">
        <v>2.0</v>
      </c>
      <c r="E23" s="23">
        <f t="shared" si="1"/>
        <v>3</v>
      </c>
      <c r="F23" s="38">
        <v>1.0</v>
      </c>
      <c r="G23" s="31"/>
      <c r="H23" s="64">
        <v>3.0</v>
      </c>
      <c r="I23" s="23">
        <f t="shared" si="2"/>
        <v>4</v>
      </c>
      <c r="J23" s="38">
        <v>1.0</v>
      </c>
      <c r="K23" s="31"/>
      <c r="L23" s="64">
        <v>3.0</v>
      </c>
      <c r="M23" s="23">
        <f t="shared" si="3"/>
        <v>4</v>
      </c>
      <c r="N23" s="38">
        <v>2.0</v>
      </c>
      <c r="O23" s="31"/>
      <c r="P23" s="31"/>
      <c r="Q23" s="23">
        <f t="shared" si="4"/>
        <v>2</v>
      </c>
      <c r="R23" s="27"/>
      <c r="S23" s="28"/>
      <c r="T23" s="28"/>
      <c r="U23" s="29">
        <f t="shared" si="5"/>
        <v>0</v>
      </c>
      <c r="V23" s="24">
        <f t="shared" si="6"/>
        <v>13</v>
      </c>
      <c r="W23" s="25" t="s">
        <v>8</v>
      </c>
      <c r="X23" s="49"/>
      <c r="Y23" s="76">
        <v>45179.0</v>
      </c>
      <c r="Z23" s="77"/>
      <c r="AA23" s="77"/>
      <c r="AB23" s="78" t="b">
        <v>0</v>
      </c>
      <c r="AC23" s="79" t="b">
        <v>0</v>
      </c>
    </row>
    <row r="24">
      <c r="A24" s="26" t="s">
        <v>53</v>
      </c>
      <c r="B24" s="30"/>
      <c r="C24" s="31"/>
      <c r="D24" s="64">
        <v>3.0</v>
      </c>
      <c r="E24" s="23">
        <f t="shared" si="1"/>
        <v>3</v>
      </c>
      <c r="F24" s="30"/>
      <c r="G24" s="31"/>
      <c r="H24" s="64">
        <v>1.0</v>
      </c>
      <c r="I24" s="23">
        <f t="shared" si="2"/>
        <v>1</v>
      </c>
      <c r="J24" s="38">
        <v>1.0</v>
      </c>
      <c r="K24" s="31"/>
      <c r="L24" s="64">
        <v>2.0</v>
      </c>
      <c r="M24" s="23">
        <f t="shared" si="3"/>
        <v>3</v>
      </c>
      <c r="N24" s="30"/>
      <c r="O24" s="31"/>
      <c r="P24" s="31"/>
      <c r="Q24" s="23">
        <f t="shared" si="4"/>
        <v>0</v>
      </c>
      <c r="R24" s="27"/>
      <c r="S24" s="28"/>
      <c r="T24" s="28"/>
      <c r="U24" s="29">
        <f t="shared" si="5"/>
        <v>0</v>
      </c>
      <c r="V24" s="24">
        <f t="shared" si="6"/>
        <v>7</v>
      </c>
      <c r="W24" s="25" t="s">
        <v>8</v>
      </c>
      <c r="X24" s="49"/>
      <c r="Y24" s="76">
        <v>45210.0</v>
      </c>
      <c r="Z24" s="77"/>
      <c r="AA24" s="77"/>
      <c r="AB24" s="80" t="b">
        <v>0</v>
      </c>
      <c r="AC24" s="81" t="b">
        <v>0</v>
      </c>
    </row>
    <row r="25">
      <c r="A25" s="26" t="s">
        <v>54</v>
      </c>
      <c r="B25" s="30"/>
      <c r="C25" s="31"/>
      <c r="D25" s="31"/>
      <c r="E25" s="23">
        <f t="shared" si="1"/>
        <v>0</v>
      </c>
      <c r="F25" s="30"/>
      <c r="G25" s="31"/>
      <c r="H25" s="31"/>
      <c r="I25" s="23">
        <f t="shared" si="2"/>
        <v>0</v>
      </c>
      <c r="J25" s="30"/>
      <c r="K25" s="31"/>
      <c r="L25" s="31"/>
      <c r="M25" s="23">
        <f t="shared" si="3"/>
        <v>0</v>
      </c>
      <c r="N25" s="30"/>
      <c r="O25" s="31"/>
      <c r="P25" s="31"/>
      <c r="Q25" s="23">
        <f t="shared" si="4"/>
        <v>0</v>
      </c>
      <c r="R25" s="27"/>
      <c r="S25" s="28"/>
      <c r="T25" s="28"/>
      <c r="U25" s="29">
        <f t="shared" si="5"/>
        <v>0</v>
      </c>
      <c r="V25" s="24">
        <f t="shared" si="6"/>
        <v>0</v>
      </c>
      <c r="W25" s="25" t="s">
        <v>8</v>
      </c>
      <c r="X25" s="49"/>
      <c r="Y25" s="76">
        <v>45242.0</v>
      </c>
      <c r="Z25" s="77"/>
      <c r="AA25" s="77"/>
      <c r="AB25" s="80" t="b">
        <v>0</v>
      </c>
      <c r="AC25" s="81" t="b">
        <v>0</v>
      </c>
    </row>
    <row r="26">
      <c r="A26" s="26" t="s">
        <v>55</v>
      </c>
      <c r="B26" s="30"/>
      <c r="C26" s="31"/>
      <c r="D26" s="31"/>
      <c r="E26" s="23">
        <f t="shared" si="1"/>
        <v>0</v>
      </c>
      <c r="F26" s="38">
        <v>1.0</v>
      </c>
      <c r="G26" s="31"/>
      <c r="H26" s="31"/>
      <c r="I26" s="23">
        <f t="shared" si="2"/>
        <v>1</v>
      </c>
      <c r="J26" s="30"/>
      <c r="K26" s="31"/>
      <c r="L26" s="31"/>
      <c r="M26" s="23">
        <f t="shared" si="3"/>
        <v>0</v>
      </c>
      <c r="N26" s="30"/>
      <c r="O26" s="31"/>
      <c r="P26" s="31"/>
      <c r="Q26" s="23">
        <f t="shared" si="4"/>
        <v>0</v>
      </c>
      <c r="R26" s="27"/>
      <c r="S26" s="28"/>
      <c r="T26" s="28"/>
      <c r="U26" s="29">
        <f t="shared" si="5"/>
        <v>0</v>
      </c>
      <c r="V26" s="24">
        <f t="shared" si="6"/>
        <v>1</v>
      </c>
      <c r="W26" s="25" t="s">
        <v>22</v>
      </c>
      <c r="Y26" s="76">
        <v>45261.0</v>
      </c>
      <c r="Z26" s="77"/>
      <c r="AA26" s="77"/>
      <c r="AB26" s="80" t="b">
        <v>0</v>
      </c>
      <c r="AC26" s="81" t="b">
        <v>0</v>
      </c>
    </row>
    <row r="27">
      <c r="A27" s="26" t="s">
        <v>56</v>
      </c>
      <c r="B27" s="30"/>
      <c r="C27" s="31"/>
      <c r="D27" s="31"/>
      <c r="E27" s="23">
        <f t="shared" si="1"/>
        <v>0</v>
      </c>
      <c r="F27" s="30"/>
      <c r="G27" s="31"/>
      <c r="H27" s="31"/>
      <c r="I27" s="23">
        <f t="shared" si="2"/>
        <v>0</v>
      </c>
      <c r="J27" s="30"/>
      <c r="K27" s="31"/>
      <c r="L27" s="31"/>
      <c r="M27" s="23">
        <f t="shared" si="3"/>
        <v>0</v>
      </c>
      <c r="N27" s="30"/>
      <c r="O27" s="31"/>
      <c r="P27" s="31"/>
      <c r="Q27" s="23">
        <f t="shared" si="4"/>
        <v>0</v>
      </c>
      <c r="R27" s="27"/>
      <c r="S27" s="28"/>
      <c r="T27" s="28"/>
      <c r="U27" s="29">
        <f t="shared" si="5"/>
        <v>0</v>
      </c>
      <c r="V27" s="24">
        <f t="shared" si="6"/>
        <v>0</v>
      </c>
      <c r="W27" s="25" t="s">
        <v>8</v>
      </c>
      <c r="Y27" s="76">
        <v>44928.0</v>
      </c>
      <c r="Z27" s="77"/>
      <c r="AA27" s="77"/>
      <c r="AB27" s="80" t="b">
        <v>0</v>
      </c>
      <c r="AC27" s="81" t="b">
        <v>0</v>
      </c>
    </row>
    <row r="28">
      <c r="A28" s="70" t="s">
        <v>57</v>
      </c>
      <c r="B28" s="38">
        <v>1.0</v>
      </c>
      <c r="C28" s="31"/>
      <c r="D28" s="31"/>
      <c r="E28" s="23">
        <f t="shared" si="1"/>
        <v>1</v>
      </c>
      <c r="F28" s="30"/>
      <c r="G28" s="31"/>
      <c r="H28" s="31"/>
      <c r="I28" s="23">
        <f t="shared" si="2"/>
        <v>0</v>
      </c>
      <c r="J28" s="30"/>
      <c r="K28" s="31"/>
      <c r="L28" s="31"/>
      <c r="M28" s="23">
        <f t="shared" si="3"/>
        <v>0</v>
      </c>
      <c r="N28" s="30"/>
      <c r="O28" s="31"/>
      <c r="P28" s="31"/>
      <c r="Q28" s="23">
        <f t="shared" si="4"/>
        <v>0</v>
      </c>
      <c r="R28" s="27"/>
      <c r="S28" s="28"/>
      <c r="T28" s="28"/>
      <c r="U28" s="29">
        <f t="shared" si="5"/>
        <v>0</v>
      </c>
      <c r="V28" s="24">
        <f t="shared" si="6"/>
        <v>1</v>
      </c>
      <c r="W28" s="25" t="s">
        <v>8</v>
      </c>
      <c r="X28" s="49"/>
      <c r="Y28" s="76">
        <v>44960.0</v>
      </c>
      <c r="Z28" s="77"/>
      <c r="AA28" s="77"/>
      <c r="AB28" s="80" t="b">
        <v>0</v>
      </c>
      <c r="AC28" s="81" t="b">
        <v>0</v>
      </c>
    </row>
    <row r="29">
      <c r="A29" s="26" t="s">
        <v>58</v>
      </c>
      <c r="B29" s="30"/>
      <c r="C29" s="31"/>
      <c r="D29" s="31"/>
      <c r="E29" s="23">
        <f t="shared" si="1"/>
        <v>0</v>
      </c>
      <c r="F29" s="30"/>
      <c r="G29" s="31"/>
      <c r="H29" s="31"/>
      <c r="I29" s="23">
        <f t="shared" si="2"/>
        <v>0</v>
      </c>
      <c r="J29" s="30"/>
      <c r="K29" s="31"/>
      <c r="L29" s="31"/>
      <c r="M29" s="23">
        <f t="shared" si="3"/>
        <v>0</v>
      </c>
      <c r="N29" s="30"/>
      <c r="O29" s="31"/>
      <c r="P29" s="31"/>
      <c r="Q29" s="23">
        <f t="shared" si="4"/>
        <v>0</v>
      </c>
      <c r="R29" s="27"/>
      <c r="S29" s="28"/>
      <c r="T29" s="28"/>
      <c r="U29" s="29">
        <f t="shared" si="5"/>
        <v>0</v>
      </c>
      <c r="V29" s="24">
        <f t="shared" si="6"/>
        <v>0</v>
      </c>
      <c r="W29" s="25" t="s">
        <v>8</v>
      </c>
      <c r="X29" s="49"/>
      <c r="Y29" s="76">
        <v>44989.0</v>
      </c>
      <c r="Z29" s="77"/>
      <c r="AA29" s="77"/>
      <c r="AB29" s="80" t="b">
        <v>0</v>
      </c>
      <c r="AC29" s="81" t="b">
        <v>0</v>
      </c>
    </row>
    <row r="30">
      <c r="A30" s="26" t="s">
        <v>59</v>
      </c>
      <c r="B30" s="30"/>
      <c r="C30" s="31"/>
      <c r="D30" s="64">
        <v>1.0</v>
      </c>
      <c r="E30" s="23">
        <f t="shared" si="1"/>
        <v>1</v>
      </c>
      <c r="F30" s="30"/>
      <c r="G30" s="31"/>
      <c r="H30" s="64">
        <v>1.0</v>
      </c>
      <c r="I30" s="23">
        <f t="shared" si="2"/>
        <v>1</v>
      </c>
      <c r="J30" s="30"/>
      <c r="K30" s="31"/>
      <c r="L30" s="64">
        <v>2.0</v>
      </c>
      <c r="M30" s="23">
        <f t="shared" si="3"/>
        <v>2</v>
      </c>
      <c r="N30" s="30"/>
      <c r="O30" s="31"/>
      <c r="P30" s="31"/>
      <c r="Q30" s="23">
        <f t="shared" si="4"/>
        <v>0</v>
      </c>
      <c r="R30" s="27"/>
      <c r="S30" s="28"/>
      <c r="T30" s="28"/>
      <c r="U30" s="29">
        <f t="shared" si="5"/>
        <v>0</v>
      </c>
      <c r="V30" s="24">
        <f t="shared" si="6"/>
        <v>4</v>
      </c>
      <c r="W30" s="25" t="s">
        <v>25</v>
      </c>
      <c r="X30" s="49"/>
      <c r="Y30" s="49"/>
      <c r="Z30" s="49"/>
      <c r="AA30" s="49"/>
      <c r="AB30" s="49"/>
      <c r="AC30" s="49"/>
    </row>
    <row r="31">
      <c r="A31" s="70" t="s">
        <v>60</v>
      </c>
      <c r="B31" s="30"/>
      <c r="C31" s="31"/>
      <c r="D31" s="31"/>
      <c r="E31" s="23">
        <f t="shared" si="1"/>
        <v>0</v>
      </c>
      <c r="F31" s="38">
        <v>1.0</v>
      </c>
      <c r="G31" s="31"/>
      <c r="H31" s="31"/>
      <c r="I31" s="23">
        <f t="shared" si="2"/>
        <v>1</v>
      </c>
      <c r="J31" s="30"/>
      <c r="K31" s="31"/>
      <c r="L31" s="31"/>
      <c r="M31" s="23">
        <f t="shared" si="3"/>
        <v>0</v>
      </c>
      <c r="N31" s="30"/>
      <c r="O31" s="31"/>
      <c r="P31" s="31"/>
      <c r="Q31" s="23">
        <f t="shared" si="4"/>
        <v>0</v>
      </c>
      <c r="R31" s="27"/>
      <c r="S31" s="28"/>
      <c r="T31" s="28"/>
      <c r="U31" s="29">
        <f t="shared" si="5"/>
        <v>0</v>
      </c>
      <c r="V31" s="24">
        <f t="shared" si="6"/>
        <v>1</v>
      </c>
      <c r="W31" s="25" t="s">
        <v>22</v>
      </c>
      <c r="X31" s="49"/>
      <c r="Y31" s="82"/>
      <c r="Z31" s="82"/>
      <c r="AA31" s="82"/>
      <c r="AB31" s="82"/>
      <c r="AC31" s="82"/>
    </row>
    <row r="32">
      <c r="A32" s="26" t="s">
        <v>61</v>
      </c>
      <c r="B32" s="30"/>
      <c r="C32" s="31"/>
      <c r="D32" s="31"/>
      <c r="E32" s="23">
        <f t="shared" si="1"/>
        <v>0</v>
      </c>
      <c r="F32" s="30"/>
      <c r="G32" s="31"/>
      <c r="H32" s="31"/>
      <c r="I32" s="23">
        <f t="shared" si="2"/>
        <v>0</v>
      </c>
      <c r="J32" s="30"/>
      <c r="K32" s="31"/>
      <c r="L32" s="31"/>
      <c r="M32" s="23">
        <f t="shared" si="3"/>
        <v>0</v>
      </c>
      <c r="N32" s="30"/>
      <c r="O32" s="31"/>
      <c r="P32" s="31"/>
      <c r="Q32" s="23">
        <f t="shared" si="4"/>
        <v>0</v>
      </c>
      <c r="R32" s="27"/>
      <c r="S32" s="28"/>
      <c r="T32" s="28"/>
      <c r="U32" s="29">
        <f t="shared" si="5"/>
        <v>0</v>
      </c>
      <c r="V32" s="24">
        <f t="shared" si="6"/>
        <v>0</v>
      </c>
      <c r="W32" s="25" t="s">
        <v>8</v>
      </c>
      <c r="X32" s="49"/>
      <c r="Y32" s="83" t="s">
        <v>62</v>
      </c>
      <c r="Z32" s="84"/>
      <c r="AA32" s="84"/>
      <c r="AB32" s="84"/>
      <c r="AC32" s="85"/>
    </row>
    <row r="33">
      <c r="A33" s="26" t="s">
        <v>63</v>
      </c>
      <c r="B33" s="30"/>
      <c r="C33" s="31"/>
      <c r="D33" s="64">
        <v>1.0</v>
      </c>
      <c r="E33" s="23">
        <f t="shared" si="1"/>
        <v>1</v>
      </c>
      <c r="F33" s="38">
        <v>1.0</v>
      </c>
      <c r="G33" s="31"/>
      <c r="H33" s="64">
        <v>3.0</v>
      </c>
      <c r="I33" s="23">
        <f t="shared" si="2"/>
        <v>4</v>
      </c>
      <c r="J33" s="38">
        <v>4.0</v>
      </c>
      <c r="K33" s="31"/>
      <c r="L33" s="31"/>
      <c r="M33" s="23">
        <f t="shared" si="3"/>
        <v>4</v>
      </c>
      <c r="N33" s="30"/>
      <c r="O33" s="31"/>
      <c r="P33" s="31"/>
      <c r="Q33" s="23">
        <f t="shared" si="4"/>
        <v>0</v>
      </c>
      <c r="R33" s="27"/>
      <c r="S33" s="28"/>
      <c r="T33" s="28"/>
      <c r="U33" s="29">
        <f t="shared" si="5"/>
        <v>0</v>
      </c>
      <c r="V33" s="24">
        <f t="shared" si="6"/>
        <v>9</v>
      </c>
      <c r="W33" s="25" t="s">
        <v>8</v>
      </c>
      <c r="X33" s="49"/>
      <c r="Y33" s="74" t="s">
        <v>49</v>
      </c>
      <c r="Z33" s="75" t="s">
        <v>50</v>
      </c>
      <c r="AA33" s="75" t="s">
        <v>64</v>
      </c>
      <c r="AB33" s="75" t="s">
        <v>2</v>
      </c>
      <c r="AC33" s="75" t="s">
        <v>41</v>
      </c>
    </row>
    <row r="34">
      <c r="A34" s="26" t="s">
        <v>65</v>
      </c>
      <c r="B34" s="30"/>
      <c r="C34" s="31"/>
      <c r="D34" s="31"/>
      <c r="E34" s="23">
        <f t="shared" si="1"/>
        <v>0</v>
      </c>
      <c r="F34" s="30"/>
      <c r="G34" s="31"/>
      <c r="H34" s="31"/>
      <c r="I34" s="23">
        <f t="shared" si="2"/>
        <v>0</v>
      </c>
      <c r="J34" s="38">
        <v>2.0</v>
      </c>
      <c r="K34" s="31"/>
      <c r="L34" s="31"/>
      <c r="M34" s="23">
        <f t="shared" si="3"/>
        <v>2</v>
      </c>
      <c r="N34" s="30"/>
      <c r="O34" s="31"/>
      <c r="P34" s="31"/>
      <c r="Q34" s="23">
        <f t="shared" si="4"/>
        <v>0</v>
      </c>
      <c r="R34" s="27"/>
      <c r="S34" s="28"/>
      <c r="T34" s="28"/>
      <c r="U34" s="29">
        <f t="shared" si="5"/>
        <v>0</v>
      </c>
      <c r="V34" s="24">
        <f t="shared" si="6"/>
        <v>2</v>
      </c>
      <c r="W34" s="25" t="s">
        <v>8</v>
      </c>
      <c r="X34" s="49"/>
      <c r="Y34" s="76">
        <v>45179.0</v>
      </c>
      <c r="Z34" s="77"/>
      <c r="AA34" s="77"/>
      <c r="AB34" s="78" t="b">
        <v>0</v>
      </c>
      <c r="AC34" s="79" t="b">
        <v>0</v>
      </c>
    </row>
    <row r="35">
      <c r="A35" s="26" t="s">
        <v>66</v>
      </c>
      <c r="B35" s="38">
        <v>1.0</v>
      </c>
      <c r="C35" s="31"/>
      <c r="D35" s="31"/>
      <c r="E35" s="23">
        <f t="shared" si="1"/>
        <v>1</v>
      </c>
      <c r="F35" s="38">
        <v>1.0</v>
      </c>
      <c r="G35" s="31"/>
      <c r="H35" s="31"/>
      <c r="I35" s="23">
        <f t="shared" si="2"/>
        <v>1</v>
      </c>
      <c r="J35" s="30"/>
      <c r="K35" s="31"/>
      <c r="L35" s="64">
        <v>3.0</v>
      </c>
      <c r="M35" s="23">
        <f t="shared" si="3"/>
        <v>3</v>
      </c>
      <c r="N35" s="38">
        <v>2.0</v>
      </c>
      <c r="O35" s="31"/>
      <c r="P35" s="31"/>
      <c r="Q35" s="23">
        <f t="shared" si="4"/>
        <v>2</v>
      </c>
      <c r="R35" s="27"/>
      <c r="S35" s="28"/>
      <c r="T35" s="28"/>
      <c r="U35" s="29">
        <f t="shared" si="5"/>
        <v>0</v>
      </c>
      <c r="V35" s="24">
        <f t="shared" si="6"/>
        <v>7</v>
      </c>
      <c r="W35" s="25" t="s">
        <v>8</v>
      </c>
      <c r="X35" s="49"/>
      <c r="Y35" s="76">
        <v>45210.0</v>
      </c>
      <c r="Z35" s="77"/>
      <c r="AA35" s="77"/>
      <c r="AB35" s="80" t="b">
        <v>0</v>
      </c>
      <c r="AC35" s="81" t="b">
        <v>0</v>
      </c>
    </row>
    <row r="36">
      <c r="A36" s="26" t="s">
        <v>67</v>
      </c>
      <c r="B36" s="38"/>
      <c r="C36" s="31"/>
      <c r="D36" s="64">
        <v>1.0</v>
      </c>
      <c r="E36" s="23">
        <f t="shared" si="1"/>
        <v>1</v>
      </c>
      <c r="F36" s="30"/>
      <c r="G36" s="31"/>
      <c r="H36" s="31"/>
      <c r="I36" s="23">
        <f t="shared" si="2"/>
        <v>0</v>
      </c>
      <c r="J36" s="30"/>
      <c r="K36" s="31"/>
      <c r="L36" s="31"/>
      <c r="M36" s="23">
        <f t="shared" si="3"/>
        <v>0</v>
      </c>
      <c r="N36" s="38">
        <v>1.0</v>
      </c>
      <c r="O36" s="31"/>
      <c r="P36" s="31"/>
      <c r="Q36" s="23">
        <f t="shared" si="4"/>
        <v>1</v>
      </c>
      <c r="R36" s="27"/>
      <c r="S36" s="28"/>
      <c r="T36" s="28"/>
      <c r="U36" s="29">
        <f t="shared" si="5"/>
        <v>0</v>
      </c>
      <c r="V36" s="24">
        <f t="shared" si="6"/>
        <v>2</v>
      </c>
      <c r="W36" s="25" t="s">
        <v>20</v>
      </c>
      <c r="X36" s="49"/>
      <c r="Y36" s="76">
        <v>45242.0</v>
      </c>
      <c r="Z36" s="77"/>
      <c r="AA36" s="77"/>
      <c r="AB36" s="80" t="b">
        <v>0</v>
      </c>
      <c r="AC36" s="81" t="b">
        <v>0</v>
      </c>
    </row>
    <row r="37">
      <c r="A37" s="26" t="s">
        <v>68</v>
      </c>
      <c r="B37" s="30"/>
      <c r="C37" s="31"/>
      <c r="D37" s="31"/>
      <c r="E37" s="23">
        <f t="shared" si="1"/>
        <v>0</v>
      </c>
      <c r="F37" s="30"/>
      <c r="G37" s="31"/>
      <c r="H37" s="31"/>
      <c r="I37" s="23">
        <f t="shared" si="2"/>
        <v>0</v>
      </c>
      <c r="J37" s="30"/>
      <c r="K37" s="31"/>
      <c r="L37" s="31"/>
      <c r="M37" s="23">
        <f t="shared" si="3"/>
        <v>0</v>
      </c>
      <c r="N37" s="30"/>
      <c r="O37" s="31"/>
      <c r="P37" s="31"/>
      <c r="Q37" s="23">
        <f t="shared" si="4"/>
        <v>0</v>
      </c>
      <c r="R37" s="27"/>
      <c r="S37" s="28"/>
      <c r="T37" s="28"/>
      <c r="U37" s="29">
        <f t="shared" si="5"/>
        <v>0</v>
      </c>
      <c r="V37" s="24">
        <f t="shared" si="6"/>
        <v>0</v>
      </c>
      <c r="W37" s="25" t="s">
        <v>8</v>
      </c>
      <c r="X37" s="49"/>
      <c r="Y37" s="76">
        <v>45261.0</v>
      </c>
      <c r="Z37" s="77"/>
      <c r="AA37" s="77"/>
      <c r="AB37" s="80" t="b">
        <v>0</v>
      </c>
      <c r="AC37" s="81" t="b">
        <v>0</v>
      </c>
    </row>
    <row r="38">
      <c r="A38" s="26" t="s">
        <v>69</v>
      </c>
      <c r="B38" s="30"/>
      <c r="C38" s="31"/>
      <c r="D38" s="31"/>
      <c r="E38" s="23">
        <f t="shared" si="1"/>
        <v>0</v>
      </c>
      <c r="F38" s="30"/>
      <c r="G38" s="31"/>
      <c r="H38" s="31"/>
      <c r="I38" s="23">
        <f t="shared" si="2"/>
        <v>0</v>
      </c>
      <c r="J38" s="30"/>
      <c r="K38" s="31"/>
      <c r="L38" s="31"/>
      <c r="M38" s="23">
        <f t="shared" si="3"/>
        <v>0</v>
      </c>
      <c r="N38" s="30"/>
      <c r="O38" s="31"/>
      <c r="P38" s="31"/>
      <c r="Q38" s="23">
        <f t="shared" si="4"/>
        <v>0</v>
      </c>
      <c r="R38" s="27"/>
      <c r="S38" s="28"/>
      <c r="T38" s="28"/>
      <c r="U38" s="29">
        <f t="shared" si="5"/>
        <v>0</v>
      </c>
      <c r="V38" s="24">
        <f t="shared" si="6"/>
        <v>0</v>
      </c>
      <c r="W38" s="25" t="s">
        <v>8</v>
      </c>
      <c r="X38" s="49"/>
      <c r="Y38" s="76">
        <v>44928.0</v>
      </c>
      <c r="Z38" s="77"/>
      <c r="AA38" s="77"/>
      <c r="AB38" s="80" t="b">
        <v>0</v>
      </c>
      <c r="AC38" s="81" t="b">
        <v>0</v>
      </c>
    </row>
    <row r="39">
      <c r="A39" s="26" t="s">
        <v>70</v>
      </c>
      <c r="B39" s="30"/>
      <c r="C39" s="31"/>
      <c r="D39" s="31"/>
      <c r="E39" s="23">
        <f t="shared" si="1"/>
        <v>0</v>
      </c>
      <c r="F39" s="30"/>
      <c r="G39" s="31"/>
      <c r="H39" s="31"/>
      <c r="I39" s="23">
        <f t="shared" si="2"/>
        <v>0</v>
      </c>
      <c r="J39" s="30"/>
      <c r="K39" s="31"/>
      <c r="L39" s="31"/>
      <c r="M39" s="23">
        <f t="shared" si="3"/>
        <v>0</v>
      </c>
      <c r="N39" s="30"/>
      <c r="O39" s="31"/>
      <c r="P39" s="31"/>
      <c r="Q39" s="23">
        <f t="shared" si="4"/>
        <v>0</v>
      </c>
      <c r="R39" s="27"/>
      <c r="S39" s="28"/>
      <c r="T39" s="28"/>
      <c r="U39" s="29">
        <f t="shared" si="5"/>
        <v>0</v>
      </c>
      <c r="V39" s="24">
        <f t="shared" si="6"/>
        <v>0</v>
      </c>
      <c r="W39" s="25" t="s">
        <v>8</v>
      </c>
      <c r="X39" s="49"/>
      <c r="Y39" s="76">
        <v>44960.0</v>
      </c>
      <c r="Z39" s="77"/>
      <c r="AA39" s="77"/>
      <c r="AB39" s="80" t="b">
        <v>0</v>
      </c>
      <c r="AC39" s="81" t="b">
        <v>0</v>
      </c>
    </row>
    <row r="40">
      <c r="A40" s="26" t="s">
        <v>71</v>
      </c>
      <c r="B40" s="30"/>
      <c r="C40" s="31"/>
      <c r="D40" s="31"/>
      <c r="E40" s="23">
        <f t="shared" si="1"/>
        <v>0</v>
      </c>
      <c r="F40" s="30"/>
      <c r="G40" s="31"/>
      <c r="H40" s="31"/>
      <c r="I40" s="23">
        <f t="shared" si="2"/>
        <v>0</v>
      </c>
      <c r="J40" s="30"/>
      <c r="K40" s="31"/>
      <c r="L40" s="31"/>
      <c r="M40" s="23">
        <f t="shared" si="3"/>
        <v>0</v>
      </c>
      <c r="N40" s="30"/>
      <c r="O40" s="31"/>
      <c r="P40" s="31"/>
      <c r="Q40" s="23">
        <f t="shared" si="4"/>
        <v>0</v>
      </c>
      <c r="R40" s="27"/>
      <c r="S40" s="28"/>
      <c r="T40" s="28"/>
      <c r="U40" s="29">
        <f t="shared" si="5"/>
        <v>0</v>
      </c>
      <c r="V40" s="24">
        <f t="shared" si="6"/>
        <v>0</v>
      </c>
      <c r="W40" s="25" t="s">
        <v>8</v>
      </c>
      <c r="X40" s="49"/>
      <c r="Y40" s="76">
        <v>44989.0</v>
      </c>
      <c r="Z40" s="77"/>
      <c r="AA40" s="77"/>
      <c r="AB40" s="80" t="b">
        <v>0</v>
      </c>
      <c r="AC40" s="81" t="b">
        <v>0</v>
      </c>
    </row>
    <row r="41">
      <c r="A41" s="26" t="s">
        <v>72</v>
      </c>
      <c r="B41" s="30"/>
      <c r="C41" s="31"/>
      <c r="D41" s="31"/>
      <c r="E41" s="23">
        <f t="shared" si="1"/>
        <v>0</v>
      </c>
      <c r="F41" s="30"/>
      <c r="G41" s="31"/>
      <c r="H41" s="64">
        <v>1.0</v>
      </c>
      <c r="I41" s="23">
        <f t="shared" si="2"/>
        <v>1</v>
      </c>
      <c r="J41" s="30"/>
      <c r="K41" s="31"/>
      <c r="L41" s="31"/>
      <c r="M41" s="23">
        <f t="shared" si="3"/>
        <v>0</v>
      </c>
      <c r="N41" s="30"/>
      <c r="O41" s="31"/>
      <c r="P41" s="31"/>
      <c r="Q41" s="23">
        <f t="shared" si="4"/>
        <v>0</v>
      </c>
      <c r="R41" s="27"/>
      <c r="S41" s="28"/>
      <c r="T41" s="28"/>
      <c r="U41" s="29">
        <f t="shared" si="5"/>
        <v>0</v>
      </c>
      <c r="V41" s="24">
        <f t="shared" si="6"/>
        <v>1</v>
      </c>
      <c r="W41" s="25" t="s">
        <v>8</v>
      </c>
      <c r="X41" s="49"/>
      <c r="Y41" s="82"/>
      <c r="Z41" s="82"/>
      <c r="AA41" s="82"/>
      <c r="AB41" s="82"/>
      <c r="AC41" s="82"/>
    </row>
    <row r="42">
      <c r="A42" s="26" t="s">
        <v>73</v>
      </c>
      <c r="B42" s="30"/>
      <c r="C42" s="31"/>
      <c r="D42" s="31"/>
      <c r="E42" s="23">
        <f t="shared" si="1"/>
        <v>0</v>
      </c>
      <c r="F42" s="30"/>
      <c r="G42" s="31"/>
      <c r="H42" s="31"/>
      <c r="I42" s="23">
        <f t="shared" si="2"/>
        <v>0</v>
      </c>
      <c r="J42" s="30"/>
      <c r="K42" s="31"/>
      <c r="L42" s="31"/>
      <c r="M42" s="23">
        <f t="shared" si="3"/>
        <v>0</v>
      </c>
      <c r="N42" s="30"/>
      <c r="O42" s="31"/>
      <c r="P42" s="31"/>
      <c r="Q42" s="23">
        <f t="shared" si="4"/>
        <v>0</v>
      </c>
      <c r="R42" s="27"/>
      <c r="S42" s="28"/>
      <c r="T42" s="28"/>
      <c r="U42" s="29">
        <f t="shared" si="5"/>
        <v>0</v>
      </c>
      <c r="V42" s="24">
        <f t="shared" si="6"/>
        <v>0</v>
      </c>
      <c r="W42" s="25" t="s">
        <v>22</v>
      </c>
      <c r="X42" s="25"/>
      <c r="Y42" s="83" t="s">
        <v>74</v>
      </c>
      <c r="Z42" s="84"/>
      <c r="AA42" s="84"/>
      <c r="AB42" s="84"/>
      <c r="AC42" s="85"/>
    </row>
    <row r="43">
      <c r="A43" s="26" t="s">
        <v>75</v>
      </c>
      <c r="B43" s="30"/>
      <c r="C43" s="31"/>
      <c r="D43" s="31"/>
      <c r="E43" s="23">
        <f t="shared" si="1"/>
        <v>0</v>
      </c>
      <c r="F43" s="30"/>
      <c r="G43" s="31"/>
      <c r="H43" s="31"/>
      <c r="I43" s="23">
        <f t="shared" si="2"/>
        <v>0</v>
      </c>
      <c r="J43" s="30"/>
      <c r="K43" s="31"/>
      <c r="L43" s="31"/>
      <c r="M43" s="23">
        <f t="shared" si="3"/>
        <v>0</v>
      </c>
      <c r="N43" s="30"/>
      <c r="O43" s="31"/>
      <c r="P43" s="31"/>
      <c r="Q43" s="23">
        <f t="shared" si="4"/>
        <v>0</v>
      </c>
      <c r="R43" s="27"/>
      <c r="S43" s="28"/>
      <c r="T43" s="28"/>
      <c r="U43" s="29">
        <f t="shared" si="5"/>
        <v>0</v>
      </c>
      <c r="V43" s="24">
        <f t="shared" si="6"/>
        <v>0</v>
      </c>
      <c r="W43" s="25" t="s">
        <v>25</v>
      </c>
      <c r="X43" s="49"/>
      <c r="Y43" s="74" t="s">
        <v>49</v>
      </c>
      <c r="Z43" s="75" t="s">
        <v>50</v>
      </c>
      <c r="AA43" s="75" t="s">
        <v>64</v>
      </c>
      <c r="AB43" s="75" t="s">
        <v>2</v>
      </c>
      <c r="AC43" s="75" t="s">
        <v>41</v>
      </c>
    </row>
    <row r="44">
      <c r="A44" s="26" t="s">
        <v>76</v>
      </c>
      <c r="B44" s="30"/>
      <c r="C44" s="31"/>
      <c r="D44" s="31"/>
      <c r="E44" s="23">
        <f t="shared" si="1"/>
        <v>0</v>
      </c>
      <c r="F44" s="30"/>
      <c r="G44" s="31"/>
      <c r="H44" s="31"/>
      <c r="I44" s="23">
        <f t="shared" si="2"/>
        <v>0</v>
      </c>
      <c r="J44" s="30"/>
      <c r="K44" s="31"/>
      <c r="L44" s="31"/>
      <c r="M44" s="23">
        <f t="shared" si="3"/>
        <v>0</v>
      </c>
      <c r="N44" s="38">
        <v>1.0</v>
      </c>
      <c r="O44" s="31"/>
      <c r="P44" s="31"/>
      <c r="Q44" s="23">
        <f t="shared" si="4"/>
        <v>1</v>
      </c>
      <c r="R44" s="27"/>
      <c r="S44" s="28"/>
      <c r="T44" s="28"/>
      <c r="U44" s="29">
        <f t="shared" si="5"/>
        <v>0</v>
      </c>
      <c r="V44" s="24">
        <f t="shared" si="6"/>
        <v>1</v>
      </c>
      <c r="W44" s="25" t="s">
        <v>22</v>
      </c>
      <c r="X44" s="49"/>
      <c r="Y44" s="76">
        <v>45179.0</v>
      </c>
      <c r="Z44" s="77"/>
      <c r="AA44" s="77"/>
      <c r="AB44" s="78" t="b">
        <v>0</v>
      </c>
      <c r="AC44" s="79" t="b">
        <v>0</v>
      </c>
    </row>
    <row r="45">
      <c r="A45" s="26" t="s">
        <v>77</v>
      </c>
      <c r="B45" s="30"/>
      <c r="C45" s="31"/>
      <c r="D45" s="31"/>
      <c r="E45" s="23">
        <f t="shared" si="1"/>
        <v>0</v>
      </c>
      <c r="F45" s="30"/>
      <c r="G45" s="31"/>
      <c r="H45" s="31"/>
      <c r="I45" s="23">
        <f t="shared" si="2"/>
        <v>0</v>
      </c>
      <c r="J45" s="30"/>
      <c r="K45" s="31"/>
      <c r="L45" s="31"/>
      <c r="M45" s="23">
        <f t="shared" si="3"/>
        <v>0</v>
      </c>
      <c r="N45" s="30"/>
      <c r="O45" s="31"/>
      <c r="P45" s="31"/>
      <c r="Q45" s="23">
        <f t="shared" si="4"/>
        <v>0</v>
      </c>
      <c r="R45" s="27"/>
      <c r="S45" s="28"/>
      <c r="T45" s="28"/>
      <c r="U45" s="29">
        <f t="shared" si="5"/>
        <v>0</v>
      </c>
      <c r="V45" s="24">
        <f t="shared" si="6"/>
        <v>0</v>
      </c>
      <c r="W45" s="25" t="s">
        <v>22</v>
      </c>
      <c r="X45" s="49"/>
      <c r="Y45" s="76">
        <v>45210.0</v>
      </c>
      <c r="Z45" s="77"/>
      <c r="AA45" s="77"/>
      <c r="AB45" s="80" t="b">
        <v>0</v>
      </c>
      <c r="AC45" s="81" t="b">
        <v>0</v>
      </c>
    </row>
    <row r="46">
      <c r="A46" s="26" t="s">
        <v>78</v>
      </c>
      <c r="B46" s="30"/>
      <c r="C46" s="31"/>
      <c r="D46" s="64">
        <v>1.0</v>
      </c>
      <c r="E46" s="23">
        <f t="shared" si="1"/>
        <v>1</v>
      </c>
      <c r="F46" s="30"/>
      <c r="G46" s="31"/>
      <c r="H46" s="64">
        <v>1.0</v>
      </c>
      <c r="I46" s="23">
        <f t="shared" si="2"/>
        <v>1</v>
      </c>
      <c r="J46" s="30"/>
      <c r="K46" s="31"/>
      <c r="L46" s="31"/>
      <c r="M46" s="23">
        <f t="shared" si="3"/>
        <v>0</v>
      </c>
      <c r="N46" s="30"/>
      <c r="O46" s="31"/>
      <c r="P46" s="64">
        <v>1.0</v>
      </c>
      <c r="Q46" s="23">
        <f t="shared" si="4"/>
        <v>1</v>
      </c>
      <c r="R46" s="27"/>
      <c r="S46" s="28"/>
      <c r="T46" s="28"/>
      <c r="U46" s="29">
        <f t="shared" si="5"/>
        <v>0</v>
      </c>
      <c r="V46" s="24">
        <f t="shared" si="6"/>
        <v>3</v>
      </c>
      <c r="W46" s="25" t="s">
        <v>8</v>
      </c>
      <c r="X46" s="49"/>
      <c r="Y46" s="76">
        <v>45242.0</v>
      </c>
      <c r="Z46" s="77"/>
      <c r="AA46" s="77"/>
      <c r="AB46" s="80" t="b">
        <v>0</v>
      </c>
      <c r="AC46" s="81" t="b">
        <v>0</v>
      </c>
    </row>
    <row r="47">
      <c r="A47" s="26" t="s">
        <v>79</v>
      </c>
      <c r="B47" s="30"/>
      <c r="C47" s="31"/>
      <c r="D47" s="31"/>
      <c r="E47" s="23">
        <f t="shared" si="1"/>
        <v>0</v>
      </c>
      <c r="F47" s="30"/>
      <c r="G47" s="31"/>
      <c r="H47" s="31"/>
      <c r="I47" s="23">
        <f t="shared" si="2"/>
        <v>0</v>
      </c>
      <c r="J47" s="30"/>
      <c r="K47" s="31"/>
      <c r="L47" s="31"/>
      <c r="M47" s="23">
        <f t="shared" si="3"/>
        <v>0</v>
      </c>
      <c r="N47" s="30"/>
      <c r="O47" s="31"/>
      <c r="P47" s="31"/>
      <c r="Q47" s="23">
        <f t="shared" si="4"/>
        <v>0</v>
      </c>
      <c r="R47" s="27"/>
      <c r="S47" s="28"/>
      <c r="T47" s="28"/>
      <c r="U47" s="29">
        <f t="shared" si="5"/>
        <v>0</v>
      </c>
      <c r="V47" s="24">
        <f t="shared" si="6"/>
        <v>0</v>
      </c>
      <c r="W47" s="25" t="s">
        <v>25</v>
      </c>
      <c r="X47" s="49"/>
      <c r="Y47" s="76">
        <v>45261.0</v>
      </c>
      <c r="Z47" s="77"/>
      <c r="AA47" s="77"/>
      <c r="AB47" s="80" t="b">
        <v>0</v>
      </c>
      <c r="AC47" s="81" t="b">
        <v>0</v>
      </c>
    </row>
    <row r="48">
      <c r="A48" s="26" t="s">
        <v>80</v>
      </c>
      <c r="B48" s="30"/>
      <c r="C48" s="31"/>
      <c r="D48" s="31"/>
      <c r="E48" s="23">
        <f t="shared" si="1"/>
        <v>0</v>
      </c>
      <c r="F48" s="30"/>
      <c r="G48" s="31"/>
      <c r="H48" s="31"/>
      <c r="I48" s="23">
        <f t="shared" si="2"/>
        <v>0</v>
      </c>
      <c r="J48" s="30"/>
      <c r="K48" s="31"/>
      <c r="L48" s="31"/>
      <c r="M48" s="23">
        <f t="shared" si="3"/>
        <v>0</v>
      </c>
      <c r="N48" s="30"/>
      <c r="O48" s="31"/>
      <c r="P48" s="31"/>
      <c r="Q48" s="23">
        <f t="shared" si="4"/>
        <v>0</v>
      </c>
      <c r="R48" s="27"/>
      <c r="S48" s="28"/>
      <c r="T48" s="28"/>
      <c r="U48" s="29">
        <f t="shared" si="5"/>
        <v>0</v>
      </c>
      <c r="V48" s="24">
        <f t="shared" si="6"/>
        <v>0</v>
      </c>
      <c r="W48" s="25" t="s">
        <v>25</v>
      </c>
      <c r="X48" s="49"/>
      <c r="Y48" s="76">
        <v>44928.0</v>
      </c>
      <c r="Z48" s="77"/>
      <c r="AA48" s="77"/>
      <c r="AB48" s="80" t="b">
        <v>0</v>
      </c>
      <c r="AC48" s="81" t="b">
        <v>0</v>
      </c>
    </row>
    <row r="49">
      <c r="A49" s="26" t="s">
        <v>81</v>
      </c>
      <c r="B49" s="30"/>
      <c r="C49" s="31"/>
      <c r="D49" s="31"/>
      <c r="E49" s="23">
        <f t="shared" si="1"/>
        <v>0</v>
      </c>
      <c r="F49" s="30"/>
      <c r="G49" s="31"/>
      <c r="H49" s="31"/>
      <c r="I49" s="23">
        <f t="shared" si="2"/>
        <v>0</v>
      </c>
      <c r="J49" s="30"/>
      <c r="K49" s="31"/>
      <c r="L49" s="31"/>
      <c r="M49" s="23">
        <f t="shared" si="3"/>
        <v>0</v>
      </c>
      <c r="N49" s="30"/>
      <c r="O49" s="31"/>
      <c r="P49" s="31"/>
      <c r="Q49" s="23">
        <f t="shared" si="4"/>
        <v>0</v>
      </c>
      <c r="R49" s="27"/>
      <c r="S49" s="28"/>
      <c r="T49" s="28"/>
      <c r="U49" s="29">
        <f t="shared" si="5"/>
        <v>0</v>
      </c>
      <c r="V49" s="24">
        <f t="shared" si="6"/>
        <v>0</v>
      </c>
      <c r="W49" s="25" t="s">
        <v>8</v>
      </c>
      <c r="X49" s="49"/>
      <c r="Y49" s="76">
        <v>44960.0</v>
      </c>
      <c r="Z49" s="77"/>
      <c r="AA49" s="77"/>
      <c r="AB49" s="80" t="b">
        <v>0</v>
      </c>
      <c r="AC49" s="81" t="b">
        <v>0</v>
      </c>
    </row>
    <row r="50">
      <c r="A50" s="26" t="s">
        <v>82</v>
      </c>
      <c r="B50" s="30"/>
      <c r="C50" s="31"/>
      <c r="D50" s="31"/>
      <c r="E50" s="23">
        <f t="shared" si="1"/>
        <v>0</v>
      </c>
      <c r="F50" s="30"/>
      <c r="G50" s="31"/>
      <c r="H50" s="31"/>
      <c r="I50" s="23">
        <f t="shared" si="2"/>
        <v>0</v>
      </c>
      <c r="J50" s="30"/>
      <c r="K50" s="31"/>
      <c r="L50" s="31"/>
      <c r="M50" s="23">
        <f t="shared" si="3"/>
        <v>0</v>
      </c>
      <c r="N50" s="30"/>
      <c r="O50" s="31"/>
      <c r="P50" s="31"/>
      <c r="Q50" s="23">
        <f t="shared" si="4"/>
        <v>0</v>
      </c>
      <c r="R50" s="27"/>
      <c r="S50" s="28"/>
      <c r="T50" s="28"/>
      <c r="U50" s="29">
        <f t="shared" si="5"/>
        <v>0</v>
      </c>
      <c r="V50" s="24">
        <f t="shared" si="6"/>
        <v>0</v>
      </c>
      <c r="W50" s="25" t="s">
        <v>8</v>
      </c>
      <c r="X50" s="49"/>
      <c r="Y50" s="76">
        <v>44989.0</v>
      </c>
      <c r="Z50" s="77"/>
      <c r="AA50" s="77"/>
      <c r="AB50" s="80" t="b">
        <v>0</v>
      </c>
      <c r="AC50" s="81" t="b">
        <v>0</v>
      </c>
    </row>
    <row r="51">
      <c r="A51" s="26" t="s">
        <v>83</v>
      </c>
      <c r="B51" s="30"/>
      <c r="C51" s="31"/>
      <c r="D51" s="31"/>
      <c r="E51" s="23">
        <f t="shared" si="1"/>
        <v>0</v>
      </c>
      <c r="F51" s="30"/>
      <c r="G51" s="31"/>
      <c r="H51" s="31"/>
      <c r="I51" s="23">
        <f t="shared" si="2"/>
        <v>0</v>
      </c>
      <c r="J51" s="30"/>
      <c r="K51" s="31"/>
      <c r="L51" s="31"/>
      <c r="M51" s="23">
        <f t="shared" si="3"/>
        <v>0</v>
      </c>
      <c r="N51" s="30"/>
      <c r="O51" s="31"/>
      <c r="P51" s="31"/>
      <c r="Q51" s="23">
        <f t="shared" si="4"/>
        <v>0</v>
      </c>
      <c r="R51" s="27"/>
      <c r="S51" s="28"/>
      <c r="T51" s="28"/>
      <c r="U51" s="29">
        <f t="shared" si="5"/>
        <v>0</v>
      </c>
      <c r="V51" s="24">
        <f t="shared" si="6"/>
        <v>0</v>
      </c>
      <c r="W51" s="25" t="s">
        <v>8</v>
      </c>
      <c r="X51" s="49"/>
      <c r="Y51" s="82"/>
      <c r="Z51" s="82"/>
      <c r="AA51" s="82"/>
      <c r="AB51" s="82"/>
      <c r="AC51" s="82"/>
    </row>
    <row r="52">
      <c r="A52" s="26" t="s">
        <v>84</v>
      </c>
      <c r="B52" s="30"/>
      <c r="C52" s="31"/>
      <c r="D52" s="31"/>
      <c r="E52" s="23">
        <f t="shared" si="1"/>
        <v>0</v>
      </c>
      <c r="F52" s="38">
        <v>1.0</v>
      </c>
      <c r="G52" s="31"/>
      <c r="H52" s="31"/>
      <c r="I52" s="23">
        <f t="shared" si="2"/>
        <v>1</v>
      </c>
      <c r="J52" s="30"/>
      <c r="K52" s="31"/>
      <c r="L52" s="31"/>
      <c r="M52" s="23">
        <f t="shared" si="3"/>
        <v>0</v>
      </c>
      <c r="N52" s="30"/>
      <c r="O52" s="31"/>
      <c r="P52" s="31"/>
      <c r="Q52" s="23">
        <f t="shared" si="4"/>
        <v>0</v>
      </c>
      <c r="R52" s="27"/>
      <c r="S52" s="28"/>
      <c r="T52" s="28"/>
      <c r="U52" s="29">
        <f t="shared" si="5"/>
        <v>0</v>
      </c>
      <c r="V52" s="24">
        <f t="shared" si="6"/>
        <v>1</v>
      </c>
      <c r="W52" s="25" t="s">
        <v>8</v>
      </c>
      <c r="X52" s="49"/>
      <c r="Y52" s="83" t="s">
        <v>85</v>
      </c>
      <c r="Z52" s="84"/>
      <c r="AA52" s="84"/>
      <c r="AB52" s="84"/>
      <c r="AC52" s="85"/>
    </row>
    <row r="53">
      <c r="A53" s="26" t="s">
        <v>86</v>
      </c>
      <c r="B53" s="30"/>
      <c r="C53" s="31"/>
      <c r="D53" s="31"/>
      <c r="E53" s="23">
        <f t="shared" si="1"/>
        <v>0</v>
      </c>
      <c r="F53" s="30"/>
      <c r="G53" s="31"/>
      <c r="H53" s="31"/>
      <c r="I53" s="23">
        <f t="shared" si="2"/>
        <v>0</v>
      </c>
      <c r="J53" s="30"/>
      <c r="K53" s="31"/>
      <c r="L53" s="31"/>
      <c r="M53" s="23">
        <f t="shared" si="3"/>
        <v>0</v>
      </c>
      <c r="N53" s="30"/>
      <c r="O53" s="31"/>
      <c r="P53" s="31"/>
      <c r="Q53" s="23">
        <f t="shared" si="4"/>
        <v>0</v>
      </c>
      <c r="R53" s="27"/>
      <c r="S53" s="28"/>
      <c r="T53" s="28"/>
      <c r="U53" s="29">
        <f t="shared" si="5"/>
        <v>0</v>
      </c>
      <c r="V53" s="24">
        <f t="shared" si="6"/>
        <v>0</v>
      </c>
      <c r="W53" s="25" t="s">
        <v>25</v>
      </c>
      <c r="X53" s="49"/>
      <c r="Y53" s="74" t="s">
        <v>49</v>
      </c>
      <c r="Z53" s="75" t="s">
        <v>50</v>
      </c>
      <c r="AA53" s="75" t="s">
        <v>64</v>
      </c>
      <c r="AB53" s="75" t="s">
        <v>2</v>
      </c>
      <c r="AC53" s="75" t="s">
        <v>41</v>
      </c>
    </row>
    <row r="54">
      <c r="A54" s="26" t="s">
        <v>87</v>
      </c>
      <c r="B54" s="30"/>
      <c r="C54" s="31"/>
      <c r="D54" s="31"/>
      <c r="E54" s="23">
        <f t="shared" si="1"/>
        <v>0</v>
      </c>
      <c r="F54" s="30"/>
      <c r="G54" s="31"/>
      <c r="H54" s="31"/>
      <c r="I54" s="23">
        <f t="shared" si="2"/>
        <v>0</v>
      </c>
      <c r="J54" s="30"/>
      <c r="K54" s="31"/>
      <c r="L54" s="31"/>
      <c r="M54" s="23">
        <f t="shared" si="3"/>
        <v>0</v>
      </c>
      <c r="N54" s="30"/>
      <c r="O54" s="31"/>
      <c r="P54" s="31"/>
      <c r="Q54" s="23">
        <f t="shared" si="4"/>
        <v>0</v>
      </c>
      <c r="R54" s="27"/>
      <c r="S54" s="28"/>
      <c r="T54" s="28"/>
      <c r="U54" s="29">
        <f t="shared" si="5"/>
        <v>0</v>
      </c>
      <c r="V54" s="24">
        <f t="shared" si="6"/>
        <v>0</v>
      </c>
      <c r="W54" s="25" t="s">
        <v>22</v>
      </c>
      <c r="X54" s="49"/>
      <c r="Y54" s="76">
        <v>45179.0</v>
      </c>
      <c r="Z54" s="77"/>
      <c r="AA54" s="77"/>
      <c r="AB54" s="78" t="b">
        <v>0</v>
      </c>
      <c r="AC54" s="79" t="b">
        <v>0</v>
      </c>
    </row>
    <row r="55">
      <c r="A55" s="26" t="s">
        <v>88</v>
      </c>
      <c r="B55" s="30"/>
      <c r="C55" s="31"/>
      <c r="D55" s="31"/>
      <c r="E55" s="23">
        <f t="shared" si="1"/>
        <v>0</v>
      </c>
      <c r="F55" s="30"/>
      <c r="G55" s="31"/>
      <c r="H55" s="31"/>
      <c r="I55" s="23">
        <f t="shared" si="2"/>
        <v>0</v>
      </c>
      <c r="J55" s="30"/>
      <c r="K55" s="31"/>
      <c r="L55" s="31"/>
      <c r="M55" s="23">
        <f t="shared" si="3"/>
        <v>0</v>
      </c>
      <c r="N55" s="30"/>
      <c r="O55" s="31"/>
      <c r="P55" s="31"/>
      <c r="Q55" s="23">
        <f t="shared" si="4"/>
        <v>0</v>
      </c>
      <c r="R55" s="27"/>
      <c r="S55" s="28"/>
      <c r="T55" s="28"/>
      <c r="U55" s="29">
        <f t="shared" si="5"/>
        <v>0</v>
      </c>
      <c r="V55" s="24">
        <f t="shared" si="6"/>
        <v>0</v>
      </c>
      <c r="W55" s="25" t="s">
        <v>25</v>
      </c>
      <c r="X55" s="49"/>
      <c r="Y55" s="76">
        <v>45210.0</v>
      </c>
      <c r="Z55" s="77"/>
      <c r="AA55" s="77"/>
      <c r="AB55" s="80" t="b">
        <v>0</v>
      </c>
      <c r="AC55" s="81" t="b">
        <v>0</v>
      </c>
    </row>
    <row r="56">
      <c r="A56" s="26" t="s">
        <v>89</v>
      </c>
      <c r="B56" s="30"/>
      <c r="C56" s="31"/>
      <c r="D56" s="31"/>
      <c r="E56" s="23">
        <f t="shared" si="1"/>
        <v>0</v>
      </c>
      <c r="F56" s="30"/>
      <c r="G56" s="31"/>
      <c r="H56" s="31"/>
      <c r="I56" s="23">
        <f t="shared" si="2"/>
        <v>0</v>
      </c>
      <c r="J56" s="30"/>
      <c r="K56" s="31"/>
      <c r="L56" s="64">
        <v>1.0</v>
      </c>
      <c r="M56" s="23">
        <f t="shared" si="3"/>
        <v>1</v>
      </c>
      <c r="N56" s="30"/>
      <c r="O56" s="31"/>
      <c r="P56" s="31"/>
      <c r="Q56" s="23">
        <f t="shared" si="4"/>
        <v>0</v>
      </c>
      <c r="R56" s="27"/>
      <c r="S56" s="28"/>
      <c r="T56" s="28"/>
      <c r="U56" s="29">
        <f t="shared" si="5"/>
        <v>0</v>
      </c>
      <c r="V56" s="24">
        <f t="shared" si="6"/>
        <v>1</v>
      </c>
      <c r="W56" s="25" t="s">
        <v>20</v>
      </c>
      <c r="X56" s="49"/>
      <c r="Y56" s="76">
        <v>45242.0</v>
      </c>
      <c r="Z56" s="77"/>
      <c r="AA56" s="77"/>
      <c r="AB56" s="80" t="b">
        <v>0</v>
      </c>
      <c r="AC56" s="81" t="b">
        <v>0</v>
      </c>
    </row>
    <row r="57">
      <c r="A57" s="26" t="s">
        <v>90</v>
      </c>
      <c r="B57" s="38">
        <v>1.0</v>
      </c>
      <c r="C57" s="31"/>
      <c r="D57" s="31"/>
      <c r="E57" s="23">
        <f t="shared" si="1"/>
        <v>1</v>
      </c>
      <c r="F57" s="30"/>
      <c r="G57" s="31"/>
      <c r="H57" s="31"/>
      <c r="I57" s="23">
        <f t="shared" si="2"/>
        <v>0</v>
      </c>
      <c r="J57" s="30"/>
      <c r="K57" s="31"/>
      <c r="L57" s="31"/>
      <c r="M57" s="23">
        <f t="shared" si="3"/>
        <v>0</v>
      </c>
      <c r="N57" s="30"/>
      <c r="O57" s="31"/>
      <c r="P57" s="31"/>
      <c r="Q57" s="23">
        <f t="shared" si="4"/>
        <v>0</v>
      </c>
      <c r="R57" s="27"/>
      <c r="S57" s="28"/>
      <c r="T57" s="28"/>
      <c r="U57" s="29">
        <f t="shared" si="5"/>
        <v>0</v>
      </c>
      <c r="V57" s="24">
        <f t="shared" si="6"/>
        <v>1</v>
      </c>
      <c r="W57" s="25" t="s">
        <v>25</v>
      </c>
      <c r="X57" s="49"/>
      <c r="Y57" s="76">
        <v>45261.0</v>
      </c>
      <c r="Z57" s="77"/>
      <c r="AA57" s="77"/>
      <c r="AB57" s="80" t="b">
        <v>0</v>
      </c>
      <c r="AC57" s="81" t="b">
        <v>0</v>
      </c>
    </row>
    <row r="58">
      <c r="A58" s="26" t="s">
        <v>25</v>
      </c>
      <c r="B58" s="30"/>
      <c r="C58" s="31"/>
      <c r="D58" s="64">
        <v>1.0</v>
      </c>
      <c r="E58" s="23">
        <f t="shared" si="1"/>
        <v>1</v>
      </c>
      <c r="F58" s="30"/>
      <c r="G58" s="31"/>
      <c r="H58" s="31"/>
      <c r="I58" s="23">
        <f t="shared" si="2"/>
        <v>0</v>
      </c>
      <c r="J58" s="30"/>
      <c r="K58" s="31"/>
      <c r="L58" s="31"/>
      <c r="M58" s="23">
        <f t="shared" si="3"/>
        <v>0</v>
      </c>
      <c r="N58" s="38">
        <v>1.0</v>
      </c>
      <c r="O58" s="31"/>
      <c r="P58" s="64">
        <v>3.0</v>
      </c>
      <c r="Q58" s="23">
        <f t="shared" si="4"/>
        <v>4</v>
      </c>
      <c r="R58" s="27"/>
      <c r="S58" s="28"/>
      <c r="T58" s="28"/>
      <c r="U58" s="29">
        <f t="shared" si="5"/>
        <v>0</v>
      </c>
      <c r="V58" s="24">
        <f t="shared" si="6"/>
        <v>5</v>
      </c>
      <c r="W58" s="25" t="s">
        <v>8</v>
      </c>
      <c r="X58" s="49"/>
      <c r="Y58" s="76">
        <v>44928.0</v>
      </c>
      <c r="Z58" s="77"/>
      <c r="AA58" s="77"/>
      <c r="AB58" s="80" t="b">
        <v>0</v>
      </c>
      <c r="AC58" s="81" t="b">
        <v>0</v>
      </c>
    </row>
    <row r="59">
      <c r="A59" s="26" t="s">
        <v>91</v>
      </c>
      <c r="B59" s="30"/>
      <c r="C59" s="31"/>
      <c r="D59" s="31"/>
      <c r="E59" s="23">
        <f t="shared" si="1"/>
        <v>0</v>
      </c>
      <c r="F59" s="30"/>
      <c r="G59" s="31"/>
      <c r="H59" s="31"/>
      <c r="I59" s="23">
        <f t="shared" si="2"/>
        <v>0</v>
      </c>
      <c r="J59" s="30"/>
      <c r="K59" s="31"/>
      <c r="L59" s="31"/>
      <c r="M59" s="23">
        <f t="shared" si="3"/>
        <v>0</v>
      </c>
      <c r="N59" s="30"/>
      <c r="O59" s="31"/>
      <c r="P59" s="31"/>
      <c r="Q59" s="23">
        <f t="shared" si="4"/>
        <v>0</v>
      </c>
      <c r="R59" s="27"/>
      <c r="S59" s="28"/>
      <c r="T59" s="28"/>
      <c r="U59" s="29">
        <f t="shared" si="5"/>
        <v>0</v>
      </c>
      <c r="V59" s="24">
        <f t="shared" si="6"/>
        <v>0</v>
      </c>
      <c r="W59" s="25" t="s">
        <v>25</v>
      </c>
      <c r="X59" s="49"/>
      <c r="Y59" s="76">
        <v>44960.0</v>
      </c>
      <c r="Z59" s="77"/>
      <c r="AA59" s="77"/>
      <c r="AB59" s="80" t="b">
        <v>0</v>
      </c>
      <c r="AC59" s="81" t="b">
        <v>0</v>
      </c>
    </row>
    <row r="60">
      <c r="A60" s="86" t="s">
        <v>92</v>
      </c>
      <c r="B60" s="38">
        <v>1.0</v>
      </c>
      <c r="C60" s="31"/>
      <c r="D60" s="64">
        <v>1.0</v>
      </c>
      <c r="E60" s="23">
        <f t="shared" si="1"/>
        <v>2</v>
      </c>
      <c r="F60" s="38">
        <v>1.0</v>
      </c>
      <c r="G60" s="31"/>
      <c r="H60" s="31"/>
      <c r="I60" s="23">
        <f t="shared" si="2"/>
        <v>1</v>
      </c>
      <c r="J60" s="30"/>
      <c r="K60" s="31"/>
      <c r="L60" s="31"/>
      <c r="M60" s="23">
        <f t="shared" si="3"/>
        <v>0</v>
      </c>
      <c r="N60" s="30"/>
      <c r="O60" s="31"/>
      <c r="P60" s="31"/>
      <c r="Q60" s="23">
        <f t="shared" si="4"/>
        <v>0</v>
      </c>
      <c r="R60" s="27"/>
      <c r="S60" s="28"/>
      <c r="T60" s="28"/>
      <c r="U60" s="29">
        <f t="shared" si="5"/>
        <v>0</v>
      </c>
      <c r="V60" s="24">
        <f t="shared" si="6"/>
        <v>3</v>
      </c>
      <c r="W60" s="25" t="s">
        <v>8</v>
      </c>
      <c r="X60" s="49"/>
      <c r="Y60" s="76">
        <v>44989.0</v>
      </c>
      <c r="Z60" s="77"/>
      <c r="AA60" s="77"/>
      <c r="AB60" s="80" t="b">
        <v>0</v>
      </c>
      <c r="AC60" s="81" t="b">
        <v>0</v>
      </c>
    </row>
    <row r="61">
      <c r="A61" s="26" t="s">
        <v>93</v>
      </c>
      <c r="B61" s="30"/>
      <c r="C61" s="31"/>
      <c r="D61" s="31"/>
      <c r="E61" s="23">
        <f t="shared" si="1"/>
        <v>0</v>
      </c>
      <c r="F61" s="30"/>
      <c r="G61" s="31"/>
      <c r="H61" s="31"/>
      <c r="I61" s="23">
        <f t="shared" si="2"/>
        <v>0</v>
      </c>
      <c r="J61" s="30"/>
      <c r="K61" s="31"/>
      <c r="L61" s="31"/>
      <c r="M61" s="23">
        <f t="shared" si="3"/>
        <v>0</v>
      </c>
      <c r="N61" s="30"/>
      <c r="O61" s="31"/>
      <c r="P61" s="31"/>
      <c r="Q61" s="23">
        <f t="shared" si="4"/>
        <v>0</v>
      </c>
      <c r="R61" s="27"/>
      <c r="S61" s="28"/>
      <c r="T61" s="28"/>
      <c r="U61" s="29">
        <f t="shared" si="5"/>
        <v>0</v>
      </c>
      <c r="V61" s="24">
        <f t="shared" si="6"/>
        <v>0</v>
      </c>
      <c r="W61" s="25" t="s">
        <v>8</v>
      </c>
      <c r="X61" s="49"/>
      <c r="Y61" s="82"/>
      <c r="Z61" s="82"/>
      <c r="AA61" s="82"/>
      <c r="AB61" s="82"/>
      <c r="AC61" s="82"/>
    </row>
    <row r="62">
      <c r="A62" s="70" t="s">
        <v>94</v>
      </c>
      <c r="B62" s="38">
        <v>1.0</v>
      </c>
      <c r="C62" s="31"/>
      <c r="D62" s="64">
        <v>1.0</v>
      </c>
      <c r="E62" s="23">
        <f t="shared" si="1"/>
        <v>2</v>
      </c>
      <c r="F62" s="30"/>
      <c r="G62" s="31"/>
      <c r="H62" s="31"/>
      <c r="I62" s="23">
        <f t="shared" si="2"/>
        <v>0</v>
      </c>
      <c r="J62" s="38">
        <v>1.0</v>
      </c>
      <c r="K62" s="31"/>
      <c r="L62" s="31"/>
      <c r="M62" s="23">
        <f t="shared" si="3"/>
        <v>1</v>
      </c>
      <c r="N62" s="38">
        <v>1.0</v>
      </c>
      <c r="O62" s="31"/>
      <c r="P62" s="64">
        <v>1.0</v>
      </c>
      <c r="Q62" s="23">
        <f t="shared" si="4"/>
        <v>2</v>
      </c>
      <c r="R62" s="27"/>
      <c r="S62" s="28"/>
      <c r="T62" s="28"/>
      <c r="U62" s="29">
        <f t="shared" si="5"/>
        <v>0</v>
      </c>
      <c r="V62" s="24">
        <f t="shared" si="6"/>
        <v>5</v>
      </c>
      <c r="W62" s="25" t="s">
        <v>8</v>
      </c>
      <c r="X62" s="49"/>
      <c r="Y62" s="83" t="s">
        <v>95</v>
      </c>
      <c r="Z62" s="84"/>
      <c r="AA62" s="84"/>
      <c r="AB62" s="84"/>
      <c r="AC62" s="85"/>
    </row>
    <row r="63">
      <c r="A63" s="26" t="s">
        <v>96</v>
      </c>
      <c r="B63" s="30"/>
      <c r="C63" s="31"/>
      <c r="D63" s="31"/>
      <c r="E63" s="23">
        <f t="shared" si="1"/>
        <v>0</v>
      </c>
      <c r="F63" s="30"/>
      <c r="G63" s="31"/>
      <c r="H63" s="31"/>
      <c r="I63" s="23">
        <f t="shared" si="2"/>
        <v>0</v>
      </c>
      <c r="J63" s="30"/>
      <c r="K63" s="31"/>
      <c r="L63" s="31"/>
      <c r="M63" s="23">
        <f t="shared" si="3"/>
        <v>0</v>
      </c>
      <c r="N63" s="30"/>
      <c r="O63" s="31"/>
      <c r="P63" s="31"/>
      <c r="Q63" s="23">
        <f t="shared" si="4"/>
        <v>0</v>
      </c>
      <c r="R63" s="27"/>
      <c r="S63" s="28"/>
      <c r="T63" s="28"/>
      <c r="U63" s="29">
        <f t="shared" si="5"/>
        <v>0</v>
      </c>
      <c r="V63" s="24">
        <f t="shared" si="6"/>
        <v>0</v>
      </c>
      <c r="W63" s="25" t="s">
        <v>8</v>
      </c>
      <c r="X63" s="49"/>
      <c r="Y63" s="74" t="s">
        <v>49</v>
      </c>
      <c r="Z63" s="87" t="s">
        <v>50</v>
      </c>
      <c r="AA63" s="87" t="s">
        <v>51</v>
      </c>
      <c r="AB63" s="87" t="s">
        <v>2</v>
      </c>
      <c r="AC63" s="87" t="s">
        <v>41</v>
      </c>
    </row>
    <row r="64">
      <c r="A64" s="88" t="s">
        <v>97</v>
      </c>
      <c r="B64" s="30"/>
      <c r="C64" s="31"/>
      <c r="D64" s="31"/>
      <c r="E64" s="23">
        <f t="shared" si="1"/>
        <v>0</v>
      </c>
      <c r="F64" s="30"/>
      <c r="G64" s="31"/>
      <c r="H64" s="31"/>
      <c r="I64" s="23">
        <f t="shared" si="2"/>
        <v>0</v>
      </c>
      <c r="J64" s="30"/>
      <c r="K64" s="31"/>
      <c r="L64" s="31"/>
      <c r="M64" s="23">
        <f t="shared" si="3"/>
        <v>0</v>
      </c>
      <c r="N64" s="30"/>
      <c r="O64" s="31"/>
      <c r="P64" s="31"/>
      <c r="Q64" s="119">
        <f t="shared" si="4"/>
        <v>0</v>
      </c>
      <c r="R64" s="27"/>
      <c r="S64" s="28"/>
      <c r="T64" s="28"/>
      <c r="U64" s="29">
        <f t="shared" si="5"/>
        <v>0</v>
      </c>
      <c r="V64" s="120">
        <f t="shared" si="6"/>
        <v>0</v>
      </c>
      <c r="W64" s="25" t="s">
        <v>8</v>
      </c>
      <c r="X64" s="49"/>
      <c r="Y64" s="89">
        <v>45179.0</v>
      </c>
      <c r="Z64" s="90"/>
      <c r="AA64" s="90"/>
      <c r="AB64" s="78" t="b">
        <v>0</v>
      </c>
      <c r="AC64" s="79" t="b">
        <v>0</v>
      </c>
    </row>
    <row r="65">
      <c r="A65" s="26" t="s">
        <v>98</v>
      </c>
      <c r="B65" s="30"/>
      <c r="C65" s="31"/>
      <c r="D65" s="31"/>
      <c r="E65" s="23">
        <f t="shared" si="1"/>
        <v>0</v>
      </c>
      <c r="F65" s="30"/>
      <c r="G65" s="31"/>
      <c r="H65" s="31"/>
      <c r="I65" s="23">
        <f t="shared" si="2"/>
        <v>0</v>
      </c>
      <c r="J65" s="30"/>
      <c r="K65" s="31"/>
      <c r="L65" s="31"/>
      <c r="M65" s="23">
        <f t="shared" si="3"/>
        <v>0</v>
      </c>
      <c r="N65" s="30"/>
      <c r="O65" s="31"/>
      <c r="P65" s="31"/>
      <c r="Q65" s="23">
        <f t="shared" si="4"/>
        <v>0</v>
      </c>
      <c r="R65" s="27"/>
      <c r="S65" s="28"/>
      <c r="T65" s="28"/>
      <c r="U65" s="29">
        <f t="shared" si="5"/>
        <v>0</v>
      </c>
      <c r="V65" s="24">
        <f t="shared" si="6"/>
        <v>0</v>
      </c>
      <c r="W65" s="25" t="s">
        <v>22</v>
      </c>
      <c r="X65" s="49"/>
      <c r="Y65" s="89">
        <v>45210.0</v>
      </c>
      <c r="Z65" s="91"/>
      <c r="AA65" s="91"/>
      <c r="AB65" s="80" t="b">
        <v>0</v>
      </c>
      <c r="AC65" s="81" t="b">
        <v>0</v>
      </c>
    </row>
    <row r="66">
      <c r="A66" s="26" t="s">
        <v>99</v>
      </c>
      <c r="B66" s="30"/>
      <c r="C66" s="31"/>
      <c r="D66" s="31"/>
      <c r="E66" s="23">
        <f t="shared" si="1"/>
        <v>0</v>
      </c>
      <c r="F66" s="30"/>
      <c r="G66" s="31"/>
      <c r="H66" s="31"/>
      <c r="I66" s="23">
        <f t="shared" si="2"/>
        <v>0</v>
      </c>
      <c r="J66" s="30"/>
      <c r="K66" s="31"/>
      <c r="L66" s="31"/>
      <c r="M66" s="23">
        <f t="shared" si="3"/>
        <v>0</v>
      </c>
      <c r="N66" s="30"/>
      <c r="O66" s="31"/>
      <c r="P66" s="31"/>
      <c r="Q66" s="23">
        <f t="shared" si="4"/>
        <v>0</v>
      </c>
      <c r="R66" s="27"/>
      <c r="S66" s="28"/>
      <c r="T66" s="28"/>
      <c r="U66" s="29">
        <f t="shared" si="5"/>
        <v>0</v>
      </c>
      <c r="V66" s="24">
        <f t="shared" si="6"/>
        <v>0</v>
      </c>
      <c r="W66" s="25" t="s">
        <v>8</v>
      </c>
      <c r="X66" s="49"/>
      <c r="Y66" s="89">
        <v>45242.0</v>
      </c>
      <c r="Z66" s="91"/>
      <c r="AA66" s="91"/>
      <c r="AB66" s="80" t="b">
        <v>0</v>
      </c>
      <c r="AC66" s="81" t="b">
        <v>0</v>
      </c>
    </row>
    <row r="67">
      <c r="A67" s="26" t="s">
        <v>100</v>
      </c>
      <c r="B67" s="30"/>
      <c r="C67" s="31"/>
      <c r="D67" s="31"/>
      <c r="E67" s="23">
        <f t="shared" si="1"/>
        <v>0</v>
      </c>
      <c r="F67" s="30"/>
      <c r="G67" s="31"/>
      <c r="H67" s="31"/>
      <c r="I67" s="23">
        <f t="shared" si="2"/>
        <v>0</v>
      </c>
      <c r="J67" s="30"/>
      <c r="K67" s="31"/>
      <c r="L67" s="31"/>
      <c r="M67" s="23">
        <f t="shared" si="3"/>
        <v>0</v>
      </c>
      <c r="N67" s="30"/>
      <c r="O67" s="31"/>
      <c r="P67" s="31"/>
      <c r="Q67" s="23">
        <f t="shared" si="4"/>
        <v>0</v>
      </c>
      <c r="R67" s="27"/>
      <c r="S67" s="28"/>
      <c r="T67" s="28"/>
      <c r="U67" s="29">
        <f t="shared" si="5"/>
        <v>0</v>
      </c>
      <c r="V67" s="24">
        <f t="shared" si="6"/>
        <v>0</v>
      </c>
      <c r="W67" s="25" t="s">
        <v>22</v>
      </c>
      <c r="X67" s="25"/>
      <c r="Y67" s="89">
        <v>45261.0</v>
      </c>
      <c r="Z67" s="91"/>
      <c r="AA67" s="91"/>
      <c r="AB67" s="80" t="b">
        <v>0</v>
      </c>
      <c r="AC67" s="81" t="b">
        <v>0</v>
      </c>
    </row>
    <row r="68">
      <c r="A68" s="26" t="s">
        <v>101</v>
      </c>
      <c r="B68" s="30"/>
      <c r="C68" s="31"/>
      <c r="D68" s="31"/>
      <c r="E68" s="23">
        <f t="shared" si="1"/>
        <v>0</v>
      </c>
      <c r="F68" s="30"/>
      <c r="G68" s="31"/>
      <c r="H68" s="31"/>
      <c r="I68" s="23">
        <f t="shared" si="2"/>
        <v>0</v>
      </c>
      <c r="J68" s="30"/>
      <c r="K68" s="31"/>
      <c r="L68" s="31"/>
      <c r="M68" s="23">
        <f t="shared" si="3"/>
        <v>0</v>
      </c>
      <c r="N68" s="30"/>
      <c r="O68" s="31"/>
      <c r="P68" s="31"/>
      <c r="Q68" s="23">
        <f t="shared" si="4"/>
        <v>0</v>
      </c>
      <c r="R68" s="27"/>
      <c r="S68" s="28"/>
      <c r="T68" s="28"/>
      <c r="U68" s="29">
        <f t="shared" si="5"/>
        <v>0</v>
      </c>
      <c r="V68" s="24">
        <f t="shared" si="6"/>
        <v>0</v>
      </c>
      <c r="W68" s="25" t="s">
        <v>8</v>
      </c>
      <c r="X68" s="49"/>
      <c r="Y68" s="89">
        <v>44928.0</v>
      </c>
      <c r="Z68" s="91"/>
      <c r="AA68" s="91"/>
      <c r="AB68" s="80" t="b">
        <v>0</v>
      </c>
      <c r="AC68" s="81" t="b">
        <v>0</v>
      </c>
    </row>
    <row r="69">
      <c r="A69" s="26" t="s">
        <v>102</v>
      </c>
      <c r="B69" s="30"/>
      <c r="C69" s="31"/>
      <c r="D69" s="31"/>
      <c r="E69" s="23">
        <f t="shared" si="1"/>
        <v>0</v>
      </c>
      <c r="F69" s="30"/>
      <c r="G69" s="31"/>
      <c r="H69" s="31"/>
      <c r="I69" s="23">
        <f t="shared" si="2"/>
        <v>0</v>
      </c>
      <c r="J69" s="30"/>
      <c r="K69" s="31"/>
      <c r="L69" s="31"/>
      <c r="M69" s="23">
        <f t="shared" si="3"/>
        <v>0</v>
      </c>
      <c r="N69" s="30"/>
      <c r="O69" s="31"/>
      <c r="P69" s="31"/>
      <c r="Q69" s="23">
        <f t="shared" si="4"/>
        <v>0</v>
      </c>
      <c r="R69" s="27"/>
      <c r="S69" s="28"/>
      <c r="T69" s="28"/>
      <c r="U69" s="29">
        <f t="shared" si="5"/>
        <v>0</v>
      </c>
      <c r="V69" s="24">
        <f t="shared" si="6"/>
        <v>0</v>
      </c>
      <c r="W69" s="25" t="s">
        <v>22</v>
      </c>
      <c r="X69" s="49"/>
      <c r="Y69" s="89">
        <v>44960.0</v>
      </c>
      <c r="Z69" s="91"/>
      <c r="AA69" s="91"/>
      <c r="AB69" s="80" t="b">
        <v>0</v>
      </c>
      <c r="AC69" s="81" t="b">
        <v>0</v>
      </c>
    </row>
    <row r="70">
      <c r="A70" s="26" t="s">
        <v>103</v>
      </c>
      <c r="B70" s="30"/>
      <c r="C70" s="31"/>
      <c r="D70" s="31"/>
      <c r="E70" s="23">
        <f t="shared" si="1"/>
        <v>0</v>
      </c>
      <c r="F70" s="30"/>
      <c r="G70" s="31"/>
      <c r="H70" s="31"/>
      <c r="I70" s="23">
        <f t="shared" si="2"/>
        <v>0</v>
      </c>
      <c r="J70" s="30"/>
      <c r="K70" s="31"/>
      <c r="L70" s="31"/>
      <c r="M70" s="23">
        <f t="shared" si="3"/>
        <v>0</v>
      </c>
      <c r="N70" s="30"/>
      <c r="O70" s="31"/>
      <c r="P70" s="31"/>
      <c r="Q70" s="23">
        <f t="shared" si="4"/>
        <v>0</v>
      </c>
      <c r="R70" s="27"/>
      <c r="S70" s="28"/>
      <c r="T70" s="28"/>
      <c r="U70" s="29">
        <f t="shared" si="5"/>
        <v>0</v>
      </c>
      <c r="V70" s="24">
        <f t="shared" si="6"/>
        <v>0</v>
      </c>
      <c r="W70" s="25" t="s">
        <v>8</v>
      </c>
      <c r="X70" s="49"/>
      <c r="Y70" s="89">
        <v>44989.0</v>
      </c>
      <c r="Z70" s="91"/>
      <c r="AA70" s="91"/>
      <c r="AB70" s="80" t="b">
        <v>0</v>
      </c>
      <c r="AC70" s="81" t="b">
        <v>0</v>
      </c>
    </row>
    <row r="71">
      <c r="A71" s="26" t="s">
        <v>104</v>
      </c>
      <c r="B71" s="30"/>
      <c r="C71" s="31"/>
      <c r="D71" s="31"/>
      <c r="E71" s="23">
        <f t="shared" si="1"/>
        <v>0</v>
      </c>
      <c r="F71" s="30"/>
      <c r="G71" s="31"/>
      <c r="H71" s="31"/>
      <c r="I71" s="23">
        <f t="shared" si="2"/>
        <v>0</v>
      </c>
      <c r="J71" s="30"/>
      <c r="K71" s="31"/>
      <c r="L71" s="31"/>
      <c r="M71" s="23">
        <f t="shared" si="3"/>
        <v>0</v>
      </c>
      <c r="N71" s="30"/>
      <c r="O71" s="31"/>
      <c r="P71" s="31"/>
      <c r="Q71" s="23">
        <f t="shared" si="4"/>
        <v>0</v>
      </c>
      <c r="R71" s="27"/>
      <c r="S71" s="28"/>
      <c r="T71" s="28"/>
      <c r="U71" s="29">
        <f t="shared" si="5"/>
        <v>0</v>
      </c>
      <c r="V71" s="24">
        <f t="shared" si="6"/>
        <v>0</v>
      </c>
      <c r="W71" s="25" t="s">
        <v>23</v>
      </c>
      <c r="X71" s="49"/>
      <c r="Y71" s="49"/>
      <c r="Z71" s="49"/>
      <c r="AA71" s="49"/>
      <c r="AB71" s="49"/>
      <c r="AC71" s="49"/>
    </row>
    <row r="72">
      <c r="A72" s="26" t="s">
        <v>105</v>
      </c>
      <c r="B72" s="30"/>
      <c r="C72" s="31"/>
      <c r="D72" s="31"/>
      <c r="E72" s="23">
        <f t="shared" si="1"/>
        <v>0</v>
      </c>
      <c r="F72" s="30"/>
      <c r="G72" s="31"/>
      <c r="H72" s="31"/>
      <c r="I72" s="23">
        <f t="shared" si="2"/>
        <v>0</v>
      </c>
      <c r="J72" s="30"/>
      <c r="K72" s="31"/>
      <c r="L72" s="31"/>
      <c r="M72" s="23">
        <f t="shared" si="3"/>
        <v>0</v>
      </c>
      <c r="N72" s="30"/>
      <c r="O72" s="31"/>
      <c r="P72" s="31"/>
      <c r="Q72" s="23">
        <f t="shared" si="4"/>
        <v>0</v>
      </c>
      <c r="R72" s="27"/>
      <c r="S72" s="28"/>
      <c r="T72" s="28"/>
      <c r="U72" s="29">
        <f t="shared" si="5"/>
        <v>0</v>
      </c>
      <c r="V72" s="24">
        <f t="shared" si="6"/>
        <v>0</v>
      </c>
      <c r="W72" s="25" t="s">
        <v>23</v>
      </c>
      <c r="X72" s="25"/>
    </row>
    <row r="73">
      <c r="A73" s="26" t="s">
        <v>106</v>
      </c>
      <c r="B73" s="30"/>
      <c r="C73" s="31"/>
      <c r="D73" s="31"/>
      <c r="E73" s="23">
        <f t="shared" si="1"/>
        <v>0</v>
      </c>
      <c r="F73" s="38">
        <v>2.0</v>
      </c>
      <c r="G73" s="31"/>
      <c r="H73" s="31"/>
      <c r="I73" s="23">
        <f t="shared" si="2"/>
        <v>2</v>
      </c>
      <c r="J73" s="38">
        <v>3.0</v>
      </c>
      <c r="K73" s="31"/>
      <c r="L73" s="31"/>
      <c r="M73" s="23">
        <f t="shared" si="3"/>
        <v>3</v>
      </c>
      <c r="N73" s="30"/>
      <c r="O73" s="31"/>
      <c r="P73" s="31"/>
      <c r="Q73" s="23">
        <f t="shared" si="4"/>
        <v>0</v>
      </c>
      <c r="R73" s="27"/>
      <c r="S73" s="28"/>
      <c r="T73" s="28"/>
      <c r="U73" s="29">
        <f t="shared" si="5"/>
        <v>0</v>
      </c>
      <c r="V73" s="24">
        <f t="shared" si="6"/>
        <v>5</v>
      </c>
      <c r="W73" s="25" t="s">
        <v>8</v>
      </c>
      <c r="X73" s="49"/>
    </row>
    <row r="74">
      <c r="A74" s="26" t="s">
        <v>107</v>
      </c>
      <c r="B74" s="30"/>
      <c r="C74" s="31"/>
      <c r="D74" s="64">
        <v>3.0</v>
      </c>
      <c r="E74" s="23">
        <f t="shared" si="1"/>
        <v>3</v>
      </c>
      <c r="F74" s="30"/>
      <c r="G74" s="31"/>
      <c r="H74" s="31"/>
      <c r="I74" s="23">
        <f t="shared" si="2"/>
        <v>0</v>
      </c>
      <c r="J74" s="30"/>
      <c r="K74" s="31"/>
      <c r="L74" s="31"/>
      <c r="M74" s="23">
        <f t="shared" si="3"/>
        <v>0</v>
      </c>
      <c r="N74" s="30"/>
      <c r="O74" s="31"/>
      <c r="P74" s="31"/>
      <c r="Q74" s="23">
        <f t="shared" si="4"/>
        <v>0</v>
      </c>
      <c r="R74" s="27"/>
      <c r="S74" s="28"/>
      <c r="T74" s="28"/>
      <c r="U74" s="29">
        <f t="shared" si="5"/>
        <v>0</v>
      </c>
      <c r="V74" s="24">
        <f t="shared" si="6"/>
        <v>3</v>
      </c>
      <c r="W74" s="25" t="s">
        <v>25</v>
      </c>
      <c r="X74" s="49"/>
      <c r="Y74" s="92"/>
      <c r="Z74" s="92"/>
      <c r="AA74" s="92"/>
      <c r="AB74" s="92"/>
      <c r="AC74" s="92"/>
    </row>
    <row r="75">
      <c r="A75" s="70" t="s">
        <v>108</v>
      </c>
      <c r="B75" s="30"/>
      <c r="C75" s="31"/>
      <c r="D75" s="31"/>
      <c r="E75" s="23">
        <f t="shared" si="1"/>
        <v>0</v>
      </c>
      <c r="F75" s="30"/>
      <c r="G75" s="31"/>
      <c r="H75" s="64">
        <v>1.0</v>
      </c>
      <c r="I75" s="23">
        <f t="shared" si="2"/>
        <v>1</v>
      </c>
      <c r="J75" s="30"/>
      <c r="K75" s="31"/>
      <c r="L75" s="31"/>
      <c r="M75" s="23">
        <f t="shared" si="3"/>
        <v>0</v>
      </c>
      <c r="N75" s="30"/>
      <c r="O75" s="31"/>
      <c r="P75" s="31"/>
      <c r="Q75" s="23">
        <f t="shared" si="4"/>
        <v>0</v>
      </c>
      <c r="R75" s="27"/>
      <c r="S75" s="28"/>
      <c r="T75" s="28"/>
      <c r="U75" s="29">
        <f t="shared" si="5"/>
        <v>0</v>
      </c>
      <c r="V75" s="24">
        <f t="shared" si="6"/>
        <v>1</v>
      </c>
      <c r="W75" s="25" t="s">
        <v>22</v>
      </c>
      <c r="X75" s="49"/>
      <c r="Y75" s="92"/>
      <c r="Z75" s="92"/>
      <c r="AA75" s="93"/>
      <c r="AB75" s="49"/>
      <c r="AC75" s="49"/>
    </row>
    <row r="76">
      <c r="A76" s="26" t="s">
        <v>109</v>
      </c>
      <c r="B76" s="30"/>
      <c r="C76" s="31"/>
      <c r="D76" s="31"/>
      <c r="E76" s="23">
        <f t="shared" si="1"/>
        <v>0</v>
      </c>
      <c r="F76" s="30"/>
      <c r="G76" s="31"/>
      <c r="H76" s="31"/>
      <c r="I76" s="23">
        <f t="shared" si="2"/>
        <v>0</v>
      </c>
      <c r="J76" s="38">
        <v>1.0</v>
      </c>
      <c r="K76" s="31"/>
      <c r="L76" s="31"/>
      <c r="M76" s="23">
        <f t="shared" si="3"/>
        <v>1</v>
      </c>
      <c r="N76" s="30"/>
      <c r="O76" s="31"/>
      <c r="P76" s="31"/>
      <c r="Q76" s="23">
        <f t="shared" si="4"/>
        <v>0</v>
      </c>
      <c r="R76" s="27"/>
      <c r="S76" s="28"/>
      <c r="T76" s="28"/>
      <c r="U76" s="29">
        <f t="shared" si="5"/>
        <v>0</v>
      </c>
      <c r="V76" s="24">
        <f t="shared" si="6"/>
        <v>1</v>
      </c>
      <c r="W76" s="25" t="s">
        <v>23</v>
      </c>
      <c r="X76" s="49"/>
      <c r="Y76" s="92"/>
      <c r="Z76" s="92"/>
      <c r="AA76" s="92"/>
      <c r="AB76" s="49"/>
      <c r="AC76" s="49"/>
    </row>
    <row r="77">
      <c r="A77" s="26" t="s">
        <v>110</v>
      </c>
      <c r="B77" s="30"/>
      <c r="C77" s="31"/>
      <c r="D77" s="64">
        <v>1.0</v>
      </c>
      <c r="E77" s="23">
        <f t="shared" si="1"/>
        <v>1</v>
      </c>
      <c r="F77" s="30"/>
      <c r="G77" s="31"/>
      <c r="H77" s="31"/>
      <c r="I77" s="23">
        <f t="shared" si="2"/>
        <v>0</v>
      </c>
      <c r="J77" s="30"/>
      <c r="K77" s="31"/>
      <c r="L77" s="31"/>
      <c r="M77" s="23">
        <f t="shared" si="3"/>
        <v>0</v>
      </c>
      <c r="N77" s="30"/>
      <c r="O77" s="31"/>
      <c r="P77" s="31"/>
      <c r="Q77" s="23">
        <f t="shared" si="4"/>
        <v>0</v>
      </c>
      <c r="R77" s="27"/>
      <c r="S77" s="28"/>
      <c r="T77" s="28"/>
      <c r="U77" s="29">
        <f t="shared" si="5"/>
        <v>0</v>
      </c>
      <c r="V77" s="24">
        <f t="shared" si="6"/>
        <v>1</v>
      </c>
      <c r="W77" s="25" t="s">
        <v>22</v>
      </c>
      <c r="X77" s="49"/>
      <c r="Y77" s="92"/>
      <c r="Z77" s="92"/>
      <c r="AA77" s="92"/>
      <c r="AB77" s="49"/>
      <c r="AC77" s="49"/>
    </row>
    <row r="78">
      <c r="A78" s="94" t="s">
        <v>111</v>
      </c>
      <c r="B78" s="30"/>
      <c r="C78" s="31"/>
      <c r="D78" s="64">
        <v>1.0</v>
      </c>
      <c r="E78" s="23">
        <f t="shared" si="1"/>
        <v>1</v>
      </c>
      <c r="F78" s="30"/>
      <c r="G78" s="31"/>
      <c r="H78" s="31"/>
      <c r="I78" s="23">
        <f t="shared" si="2"/>
        <v>0</v>
      </c>
      <c r="J78" s="30"/>
      <c r="K78" s="31"/>
      <c r="L78" s="31"/>
      <c r="M78" s="23">
        <f t="shared" si="3"/>
        <v>0</v>
      </c>
      <c r="N78" s="30"/>
      <c r="O78" s="31"/>
      <c r="P78" s="31"/>
      <c r="Q78" s="23">
        <f t="shared" si="4"/>
        <v>0</v>
      </c>
      <c r="R78" s="27"/>
      <c r="S78" s="28"/>
      <c r="T78" s="28"/>
      <c r="U78" s="29">
        <f t="shared" si="5"/>
        <v>0</v>
      </c>
      <c r="V78" s="24">
        <f t="shared" si="6"/>
        <v>1</v>
      </c>
      <c r="W78" s="25" t="s">
        <v>22</v>
      </c>
      <c r="X78" s="49"/>
      <c r="Y78" s="92"/>
      <c r="Z78" s="92"/>
      <c r="AA78" s="92"/>
      <c r="AB78" s="49"/>
      <c r="AC78" s="49"/>
    </row>
    <row r="79">
      <c r="A79" s="95" t="s">
        <v>112</v>
      </c>
      <c r="B79" s="96"/>
      <c r="C79" s="97"/>
      <c r="D79" s="97"/>
      <c r="E79" s="23">
        <f t="shared" si="1"/>
        <v>0</v>
      </c>
      <c r="F79" s="96"/>
      <c r="G79" s="97"/>
      <c r="H79" s="97"/>
      <c r="I79" s="23">
        <f t="shared" si="2"/>
        <v>0</v>
      </c>
      <c r="J79" s="96"/>
      <c r="K79" s="97"/>
      <c r="L79" s="97"/>
      <c r="M79" s="23">
        <f t="shared" si="3"/>
        <v>0</v>
      </c>
      <c r="N79" s="96"/>
      <c r="O79" s="97"/>
      <c r="P79" s="97"/>
      <c r="Q79" s="23">
        <f t="shared" si="4"/>
        <v>0</v>
      </c>
      <c r="R79" s="27"/>
      <c r="S79" s="28"/>
      <c r="T79" s="28"/>
      <c r="U79" s="29">
        <f t="shared" si="5"/>
        <v>0</v>
      </c>
      <c r="V79" s="24">
        <f t="shared" si="6"/>
        <v>0</v>
      </c>
      <c r="W79" s="25" t="s">
        <v>8</v>
      </c>
      <c r="X79" s="49"/>
      <c r="Y79" s="92"/>
      <c r="Z79" s="92"/>
      <c r="AA79" s="92"/>
      <c r="AB79" s="49"/>
      <c r="AC79" s="49"/>
    </row>
    <row r="80" ht="17.25" customHeight="1">
      <c r="A80" s="95" t="s">
        <v>113</v>
      </c>
      <c r="B80" s="96"/>
      <c r="C80" s="97"/>
      <c r="D80" s="97"/>
      <c r="E80" s="23">
        <f t="shared" si="1"/>
        <v>0</v>
      </c>
      <c r="F80" s="96"/>
      <c r="G80" s="97"/>
      <c r="H80" s="97"/>
      <c r="I80" s="23">
        <f t="shared" si="2"/>
        <v>0</v>
      </c>
      <c r="J80" s="96"/>
      <c r="K80" s="97"/>
      <c r="L80" s="97"/>
      <c r="M80" s="23">
        <f t="shared" si="3"/>
        <v>0</v>
      </c>
      <c r="N80" s="96"/>
      <c r="O80" s="97"/>
      <c r="P80" s="97"/>
      <c r="Q80" s="23">
        <f t="shared" si="4"/>
        <v>0</v>
      </c>
      <c r="R80" s="27"/>
      <c r="S80" s="28"/>
      <c r="T80" s="28"/>
      <c r="U80" s="29">
        <f t="shared" si="5"/>
        <v>0</v>
      </c>
      <c r="V80" s="24">
        <f t="shared" si="6"/>
        <v>0</v>
      </c>
      <c r="W80" s="25" t="s">
        <v>22</v>
      </c>
      <c r="X80" s="49"/>
      <c r="Y80" s="49"/>
      <c r="Z80" s="49"/>
    </row>
    <row r="81" ht="18.0" customHeight="1">
      <c r="A81" s="95" t="s">
        <v>114</v>
      </c>
      <c r="B81" s="96"/>
      <c r="C81" s="97"/>
      <c r="D81" s="97"/>
      <c r="E81" s="23">
        <f t="shared" si="1"/>
        <v>0</v>
      </c>
      <c r="F81" s="96"/>
      <c r="G81" s="97"/>
      <c r="H81" s="97"/>
      <c r="I81" s="23">
        <f t="shared" si="2"/>
        <v>0</v>
      </c>
      <c r="J81" s="96"/>
      <c r="K81" s="97"/>
      <c r="L81" s="99">
        <v>1.0</v>
      </c>
      <c r="M81" s="23">
        <f t="shared" si="3"/>
        <v>1</v>
      </c>
      <c r="N81" s="96"/>
      <c r="O81" s="97"/>
      <c r="P81" s="97"/>
      <c r="Q81" s="23">
        <f t="shared" si="4"/>
        <v>0</v>
      </c>
      <c r="R81" s="27"/>
      <c r="S81" s="28"/>
      <c r="T81" s="28"/>
      <c r="U81" s="29">
        <f t="shared" si="5"/>
        <v>0</v>
      </c>
      <c r="V81" s="24">
        <f t="shared" si="6"/>
        <v>1</v>
      </c>
      <c r="W81" s="25" t="s">
        <v>8</v>
      </c>
      <c r="X81" s="49"/>
      <c r="Z81" s="49"/>
    </row>
    <row r="82">
      <c r="A82" s="95" t="s">
        <v>115</v>
      </c>
      <c r="B82" s="96"/>
      <c r="C82" s="97"/>
      <c r="D82" s="97"/>
      <c r="E82" s="23">
        <f t="shared" si="1"/>
        <v>0</v>
      </c>
      <c r="F82" s="96"/>
      <c r="G82" s="97"/>
      <c r="H82" s="97"/>
      <c r="I82" s="23">
        <f t="shared" si="2"/>
        <v>0</v>
      </c>
      <c r="J82" s="96"/>
      <c r="K82" s="97"/>
      <c r="L82" s="97"/>
      <c r="M82" s="23">
        <f t="shared" si="3"/>
        <v>0</v>
      </c>
      <c r="N82" s="96"/>
      <c r="O82" s="97"/>
      <c r="P82" s="97"/>
      <c r="Q82" s="23">
        <f t="shared" si="4"/>
        <v>0</v>
      </c>
      <c r="R82" s="27"/>
      <c r="S82" s="28"/>
      <c r="T82" s="28"/>
      <c r="U82" s="29">
        <f t="shared" si="5"/>
        <v>0</v>
      </c>
      <c r="V82" s="24">
        <f t="shared" si="6"/>
        <v>0</v>
      </c>
      <c r="W82" s="25" t="s">
        <v>8</v>
      </c>
    </row>
    <row r="83">
      <c r="A83" s="95" t="s">
        <v>116</v>
      </c>
      <c r="B83" s="96"/>
      <c r="C83" s="97"/>
      <c r="D83" s="97"/>
      <c r="E83" s="23">
        <f t="shared" si="1"/>
        <v>0</v>
      </c>
      <c r="F83" s="96"/>
      <c r="G83" s="97"/>
      <c r="H83" s="97"/>
      <c r="I83" s="23">
        <f t="shared" si="2"/>
        <v>0</v>
      </c>
      <c r="J83" s="96"/>
      <c r="K83" s="97"/>
      <c r="L83" s="97"/>
      <c r="M83" s="23">
        <f t="shared" si="3"/>
        <v>0</v>
      </c>
      <c r="N83" s="96"/>
      <c r="O83" s="97"/>
      <c r="P83" s="97"/>
      <c r="Q83" s="23">
        <f t="shared" si="4"/>
        <v>0</v>
      </c>
      <c r="R83" s="27"/>
      <c r="S83" s="28"/>
      <c r="T83" s="28"/>
      <c r="U83" s="29">
        <f t="shared" si="5"/>
        <v>0</v>
      </c>
      <c r="V83" s="24">
        <f t="shared" si="6"/>
        <v>0</v>
      </c>
      <c r="W83" s="25" t="s">
        <v>8</v>
      </c>
    </row>
    <row r="84">
      <c r="A84" s="95" t="s">
        <v>117</v>
      </c>
      <c r="B84" s="98"/>
      <c r="C84" s="97"/>
      <c r="D84" s="97"/>
      <c r="E84" s="23">
        <f t="shared" si="1"/>
        <v>0</v>
      </c>
      <c r="F84" s="96"/>
      <c r="G84" s="97"/>
      <c r="H84" s="97"/>
      <c r="I84" s="23">
        <f t="shared" si="2"/>
        <v>0</v>
      </c>
      <c r="J84" s="96"/>
      <c r="K84" s="97"/>
      <c r="L84" s="97"/>
      <c r="M84" s="23">
        <f t="shared" si="3"/>
        <v>0</v>
      </c>
      <c r="N84" s="96"/>
      <c r="O84" s="97"/>
      <c r="P84" s="97"/>
      <c r="Q84" s="23">
        <f t="shared" si="4"/>
        <v>0</v>
      </c>
      <c r="R84" s="27"/>
      <c r="S84" s="28"/>
      <c r="T84" s="28"/>
      <c r="U84" s="29">
        <f t="shared" si="5"/>
        <v>0</v>
      </c>
      <c r="V84" s="24">
        <f t="shared" si="6"/>
        <v>0</v>
      </c>
      <c r="W84" s="25" t="s">
        <v>8</v>
      </c>
    </row>
    <row r="85">
      <c r="A85" s="100" t="s">
        <v>118</v>
      </c>
      <c r="B85" s="104">
        <f t="shared" ref="B85:D85" si="9">sum(B4:B84)</f>
        <v>8</v>
      </c>
      <c r="C85" s="104">
        <f t="shared" si="9"/>
        <v>0</v>
      </c>
      <c r="D85" s="104">
        <f t="shared" si="9"/>
        <v>25</v>
      </c>
      <c r="E85" s="105"/>
      <c r="F85" s="104">
        <f t="shared" ref="F85:H85" si="10">sum(F4:F84)</f>
        <v>15</v>
      </c>
      <c r="G85" s="104">
        <f t="shared" si="10"/>
        <v>0</v>
      </c>
      <c r="H85" s="104">
        <f t="shared" si="10"/>
        <v>25</v>
      </c>
      <c r="I85" s="105"/>
      <c r="J85" s="104">
        <f t="shared" ref="J85:L85" si="11">sum(J4:J84)</f>
        <v>17</v>
      </c>
      <c r="K85" s="104">
        <f t="shared" si="11"/>
        <v>0</v>
      </c>
      <c r="L85" s="104">
        <f t="shared" si="11"/>
        <v>16</v>
      </c>
      <c r="M85" s="105"/>
      <c r="N85" s="104">
        <f t="shared" ref="N85:P85" si="12">sum(N4:N84)</f>
        <v>13</v>
      </c>
      <c r="O85" s="104">
        <f t="shared" si="12"/>
        <v>0</v>
      </c>
      <c r="P85" s="104">
        <f t="shared" si="12"/>
        <v>13</v>
      </c>
      <c r="Q85" s="105"/>
      <c r="R85" s="101">
        <f t="shared" ref="R85:T85" si="13">sum(R4:R84)</f>
        <v>0</v>
      </c>
      <c r="S85" s="102">
        <f t="shared" si="13"/>
        <v>0</v>
      </c>
      <c r="T85" s="102">
        <f t="shared" si="13"/>
        <v>0</v>
      </c>
      <c r="U85" s="103"/>
    </row>
    <row r="86">
      <c r="A86" s="106" t="s">
        <v>119</v>
      </c>
      <c r="B86" s="118">
        <v>22.0</v>
      </c>
      <c r="C86" s="111"/>
      <c r="D86" s="111"/>
      <c r="E86" s="112"/>
      <c r="F86" s="110">
        <v>23.0</v>
      </c>
      <c r="G86" s="111"/>
      <c r="H86" s="111"/>
      <c r="I86" s="112"/>
      <c r="J86" s="110">
        <v>15.0</v>
      </c>
      <c r="K86" s="111"/>
      <c r="L86" s="111"/>
      <c r="M86" s="112"/>
      <c r="N86" s="110">
        <v>12.0</v>
      </c>
      <c r="O86" s="111"/>
      <c r="P86" s="111"/>
      <c r="Q86" s="112"/>
      <c r="R86" s="107"/>
      <c r="S86" s="108"/>
      <c r="T86" s="108"/>
      <c r="U86" s="109"/>
    </row>
  </sheetData>
  <mergeCells count="17">
    <mergeCell ref="B1:E2"/>
    <mergeCell ref="F1:I2"/>
    <mergeCell ref="J1:M2"/>
    <mergeCell ref="N1:Q2"/>
    <mergeCell ref="R1:U2"/>
    <mergeCell ref="AG5:AI5"/>
    <mergeCell ref="Y13:AE13"/>
    <mergeCell ref="J86:M86"/>
    <mergeCell ref="N86:Q86"/>
    <mergeCell ref="Y21:AC21"/>
    <mergeCell ref="Y32:AC32"/>
    <mergeCell ref="Y42:AC42"/>
    <mergeCell ref="Y52:AC52"/>
    <mergeCell ref="Y62:AC62"/>
    <mergeCell ref="B86:E86"/>
    <mergeCell ref="F86:I86"/>
    <mergeCell ref="R86:U86"/>
  </mergeCells>
  <dataValidations>
    <dataValidation type="list" allowBlank="1" showErrorMessage="1" sqref="W4:W84">
      <formula1>"Academics,Referral,Financial,Mental Health and Wellness,Other"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2" max="2" width="11.63"/>
    <col customWidth="1" min="3" max="3" width="10.88"/>
    <col customWidth="1" min="4" max="4" width="13.0"/>
    <col customWidth="1" min="5" max="5" width="24.0"/>
    <col customWidth="1" min="8" max="8" width="13.88"/>
    <col customWidth="1" min="9" max="9" width="18.75"/>
  </cols>
  <sheetData>
    <row r="1">
      <c r="A1" s="121" t="s">
        <v>120</v>
      </c>
    </row>
    <row r="6" ht="18.0" customHeight="1">
      <c r="A6" s="122" t="s">
        <v>121</v>
      </c>
      <c r="B6" s="123">
        <f>SUM(B16:F16)</f>
        <v>431</v>
      </c>
    </row>
    <row r="9">
      <c r="A9" s="124" t="s">
        <v>122</v>
      </c>
      <c r="B9" s="125"/>
      <c r="C9" s="125"/>
      <c r="D9" s="125"/>
      <c r="E9" s="125"/>
      <c r="F9" s="126"/>
      <c r="G9" s="127"/>
      <c r="H9" s="128" t="s">
        <v>123</v>
      </c>
      <c r="I9" s="37"/>
      <c r="J9" s="127"/>
      <c r="K9" s="127"/>
    </row>
    <row r="10">
      <c r="A10" s="129" t="s">
        <v>124</v>
      </c>
      <c r="B10" s="130" t="s">
        <v>14</v>
      </c>
      <c r="C10" s="130" t="s">
        <v>125</v>
      </c>
      <c r="D10" s="130" t="s">
        <v>20</v>
      </c>
      <c r="E10" s="130" t="s">
        <v>23</v>
      </c>
      <c r="F10" s="131" t="s">
        <v>25</v>
      </c>
      <c r="G10" s="127"/>
      <c r="H10" s="132" t="s">
        <v>49</v>
      </c>
      <c r="I10" s="132" t="s">
        <v>126</v>
      </c>
    </row>
    <row r="11">
      <c r="A11" s="133" t="s">
        <v>127</v>
      </c>
      <c r="B11" s="134">
        <f>'W1'!Z6</f>
        <v>22</v>
      </c>
      <c r="C11" s="134">
        <f>'W1'!Z7</f>
        <v>7</v>
      </c>
      <c r="D11" s="134">
        <f>'W1'!Z8</f>
        <v>2</v>
      </c>
      <c r="E11" s="134">
        <f>'W1'!Z9</f>
        <v>0</v>
      </c>
      <c r="F11" s="134">
        <f>'W1'!Z10</f>
        <v>5</v>
      </c>
      <c r="G11" s="116"/>
      <c r="H11" s="135">
        <v>45179.0</v>
      </c>
      <c r="I11" s="136">
        <f>sum('W5'!Z23,'W5'!Z34,'W5'!Z44,'W5'!Z54,'W5'!Z64,'W4'!Z23,'W4'!Z34,'W4'!Z44,'W4'!Z54,'W4'!Z64,'W3'!Z23,'W3'!Z34,'W3'!Z44,'W3'!Z54,'W3'!Z64,'W2'!Z23,'W2'!Z34,'W2'!Z44,'W2'!Z54,'W2'!Z64,'W1'!Z23,'W1'!Z34,'W1'!Z44,'W1'!Z54,'W1'!Z64)</f>
        <v>0</v>
      </c>
    </row>
    <row r="12">
      <c r="A12" s="133" t="s">
        <v>128</v>
      </c>
      <c r="B12" s="137">
        <f>'W2'!Z6</f>
        <v>82</v>
      </c>
      <c r="C12" s="137">
        <f>'W2'!Z7</f>
        <v>44</v>
      </c>
      <c r="D12" s="137">
        <f>'W2'!Z8</f>
        <v>7</v>
      </c>
      <c r="E12" s="137">
        <f>'W2'!Z9</f>
        <v>3</v>
      </c>
      <c r="F12" s="137">
        <f>'W2'!Z10</f>
        <v>13</v>
      </c>
      <c r="G12" s="116"/>
      <c r="H12" s="135">
        <v>45210.0</v>
      </c>
      <c r="I12" s="136">
        <f>sum('W5'!Z24,'W5'!Z35,'W5'!Z45,'W5'!Z55,'W5'!Z65,'W4'!Z24,'W4'!Z35,'W4'!Z45,'W4'!Z55,'W4'!Z65,'W3'!Z24,'W3'!Z35,'W3'!Z45,'W3'!Z55,'W3'!Z65,'W2'!Z24,'W2'!Z35,'W2'!Z45,'W2'!Z55,'W2'!Z65,'W1'!Z24,'W1'!Z35,'W1'!Z45,'W1'!Z55,'W1'!Z65)</f>
        <v>0</v>
      </c>
    </row>
    <row r="13">
      <c r="A13" s="133" t="s">
        <v>129</v>
      </c>
      <c r="B13" s="137">
        <f>'W3'!Z6</f>
        <v>50</v>
      </c>
      <c r="C13" s="137">
        <f>'W3'!Z7</f>
        <v>13</v>
      </c>
      <c r="D13" s="137">
        <f>'W3'!Z8</f>
        <v>4</v>
      </c>
      <c r="E13" s="137">
        <f>'W3'!Z9</f>
        <v>0</v>
      </c>
      <c r="F13" s="137">
        <f>'W3'!Z10</f>
        <v>13</v>
      </c>
      <c r="G13" s="116"/>
      <c r="H13" s="135">
        <v>45242.0</v>
      </c>
      <c r="I13" s="136">
        <f>sum('W5'!Z25,'W5'!Z36,'W5'!Z46,'W5'!Z56,'W5'!Z66,'W4'!Z25,'W4'!Z36,'W4'!Z46,'W4'!Z56,'W4'!Z66,'W3'!Z25,'W3'!Z36,'W3'!Z46,'W3'!Z56,'W3'!Z66,'W2'!Z25,'W2'!Z36,'W2'!Z46,'W2'!Z56,'W2'!Z66,'W1'!Z25,'W1'!Z36,'W1'!Z46,'W1'!Z56,'W1'!Z66)</f>
        <v>0</v>
      </c>
    </row>
    <row r="14">
      <c r="A14" s="133" t="s">
        <v>130</v>
      </c>
      <c r="B14" s="137">
        <f>'W4'!Z6</f>
        <v>22</v>
      </c>
      <c r="C14" s="137">
        <f>'W4'!Z7</f>
        <v>6</v>
      </c>
      <c r="D14" s="137">
        <f>'W4'!Z8</f>
        <v>3</v>
      </c>
      <c r="E14" s="137">
        <f>'W4'!Z9</f>
        <v>0</v>
      </c>
      <c r="F14" s="137">
        <f>'W4'!Z10</f>
        <v>3</v>
      </c>
      <c r="G14" s="116"/>
      <c r="H14" s="135">
        <v>45261.0</v>
      </c>
      <c r="I14" s="136">
        <f>sum('W5'!Z26,'W5'!Z37,'W5'!Z47,'W5'!Z57,'W5'!Z67,'W4'!Z26,'W4'!Z37,'W4'!Z47,'W4'!Z57,'W4'!Z67,'W3'!Z26,'W3'!Z37,'W3'!Z47,'W3'!Z57,'W3'!Z67,'W2'!Z26,'W2'!Z37,'W2'!Z47,'W2'!Z57,'W2'!Z67,'W1'!Z26,'W1'!Z37,'W1'!Z47,'W1'!Z57,'W1'!Z67)</f>
        <v>0</v>
      </c>
    </row>
    <row r="15">
      <c r="A15" s="133" t="s">
        <v>131</v>
      </c>
      <c r="B15" s="137">
        <f>'W5'!Z6</f>
        <v>93</v>
      </c>
      <c r="C15" s="137">
        <f>'W5'!Z7</f>
        <v>27</v>
      </c>
      <c r="D15" s="137">
        <f>'W5'!Z8</f>
        <v>3</v>
      </c>
      <c r="E15" s="137">
        <f>'W5'!Z9</f>
        <v>1</v>
      </c>
      <c r="F15" s="137">
        <f>'W5'!Z10</f>
        <v>8</v>
      </c>
      <c r="G15" s="116"/>
      <c r="H15" s="135">
        <v>44928.0</v>
      </c>
      <c r="I15" s="136">
        <f>sum('W5'!Z27,'W5'!Z38,'W5'!Z48,'W5'!Z58,'W5'!Z68,'W4'!Z27,'W4'!Z38,'W4'!Z48,'W4'!Z58,'W4'!Z68,'W3'!Z27,'W3'!Z38,'W3'!Z48,'W3'!Z58,'W3'!Z68,'W2'!Z27,'W2'!Z38,'W2'!Z48,'W2'!Z58,'W2'!Z68,'W1'!Z27,'W1'!Z38,'W1'!Z48,'W1'!Z58,'W1'!Z68)</f>
        <v>0</v>
      </c>
    </row>
    <row r="16">
      <c r="A16" s="138" t="s">
        <v>132</v>
      </c>
      <c r="B16" s="139">
        <f t="shared" ref="B16:F16" si="1">SUM(B11:B15)</f>
        <v>269</v>
      </c>
      <c r="C16" s="139">
        <f t="shared" si="1"/>
        <v>97</v>
      </c>
      <c r="D16" s="139">
        <f t="shared" si="1"/>
        <v>19</v>
      </c>
      <c r="E16" s="139">
        <f t="shared" si="1"/>
        <v>4</v>
      </c>
      <c r="F16" s="139">
        <f t="shared" si="1"/>
        <v>42</v>
      </c>
      <c r="G16" s="116"/>
      <c r="H16" s="135">
        <v>44960.0</v>
      </c>
      <c r="I16" s="136">
        <f>sum('W5'!Z28,'W5'!Z39,'W5'!Z49,'W5'!Z59,'W5'!Z69,'W4'!Z28,'W4'!Z39,'W4'!Z49,'W4'!Z59,'W4'!Z69,'W3'!Z28,'W3'!Z39,'W3'!Z49,'W3'!Z59,'W3'!Z69,'W2'!Z28,'W2'!Z39,'W2'!Z49,'W2'!Z59,'W2'!Z69,'W1'!Z28,'W1'!Z39,'W1'!Z49,'W1'!Z59,'W1'!Z69)</f>
        <v>0</v>
      </c>
    </row>
    <row r="17">
      <c r="H17" s="135">
        <v>44989.0</v>
      </c>
      <c r="I17" s="136">
        <f>sum('W5'!Z29,'W5'!Z40,'W5'!Z50,'W5'!Z60,'W5'!Z70,'W4'!Z29,'W4'!Z40,'W4'!Z50,'W4'!Z60,'W4'!Z70,'W3'!Z29,'W3'!Z40,'W3'!Z50,'W3'!Z60,'W3'!Z70,'W2'!Z29,'W2'!Z40,'W2'!Z50,'W2'!Z60,'W2'!Z70,'W1'!Z29,'W1'!Z40,'W1'!Z50,'W1'!Z60,'W1'!Z70)</f>
        <v>0</v>
      </c>
    </row>
    <row r="19">
      <c r="A19" s="140" t="s">
        <v>133</v>
      </c>
      <c r="B19" s="125"/>
      <c r="C19" s="125"/>
      <c r="D19" s="125"/>
      <c r="E19" s="141"/>
    </row>
    <row r="20">
      <c r="A20" s="142" t="s">
        <v>124</v>
      </c>
      <c r="B20" s="143" t="s">
        <v>1</v>
      </c>
      <c r="C20" s="143" t="s">
        <v>2</v>
      </c>
      <c r="D20" s="143" t="s">
        <v>134</v>
      </c>
      <c r="E20" s="144" t="s">
        <v>135</v>
      </c>
    </row>
    <row r="21">
      <c r="A21" s="145" t="s">
        <v>127</v>
      </c>
      <c r="B21" s="146">
        <f>'W1'!AE15</f>
        <v>11</v>
      </c>
      <c r="C21" s="146">
        <f>'W1'!AE16</f>
        <v>0</v>
      </c>
      <c r="D21" s="146">
        <f>'W1'!AE17</f>
        <v>25</v>
      </c>
      <c r="E21" s="146">
        <f t="shared" ref="E21:E26" si="2">SUM(B21:D21)</f>
        <v>36</v>
      </c>
    </row>
    <row r="22">
      <c r="A22" s="145" t="s">
        <v>128</v>
      </c>
      <c r="B22" s="147">
        <f>'W2'!AE15</f>
        <v>59</v>
      </c>
      <c r="C22" s="147">
        <f>'W2'!AE16</f>
        <v>0</v>
      </c>
      <c r="D22" s="147">
        <f>'W2'!AE17</f>
        <v>42</v>
      </c>
      <c r="E22" s="147">
        <f t="shared" si="2"/>
        <v>101</v>
      </c>
    </row>
    <row r="23">
      <c r="A23" s="145" t="s">
        <v>129</v>
      </c>
      <c r="B23" s="147">
        <f>'W3'!AE15</f>
        <v>33</v>
      </c>
      <c r="C23" s="147">
        <f>'W3'!AE16</f>
        <v>4</v>
      </c>
      <c r="D23" s="147">
        <f>'W3'!AE17</f>
        <v>33</v>
      </c>
      <c r="E23" s="147">
        <f t="shared" si="2"/>
        <v>70</v>
      </c>
    </row>
    <row r="24">
      <c r="A24" s="145" t="s">
        <v>130</v>
      </c>
      <c r="B24" s="147">
        <f>'W4'!AE15</f>
        <v>25</v>
      </c>
      <c r="C24" s="147">
        <f>'W4'!AE16</f>
        <v>0</v>
      </c>
      <c r="D24" s="147">
        <f>'W4'!AE17</f>
        <v>7</v>
      </c>
      <c r="E24" s="147">
        <f t="shared" si="2"/>
        <v>32</v>
      </c>
    </row>
    <row r="25">
      <c r="A25" s="145" t="s">
        <v>131</v>
      </c>
      <c r="B25" s="147">
        <f>'W5'!AE15</f>
        <v>53</v>
      </c>
      <c r="C25" s="147">
        <f>'W5'!AE16</f>
        <v>0</v>
      </c>
      <c r="D25" s="147">
        <f>'W5'!AE17</f>
        <v>72</v>
      </c>
      <c r="E25" s="147">
        <f t="shared" si="2"/>
        <v>125</v>
      </c>
    </row>
    <row r="26">
      <c r="A26" s="148" t="s">
        <v>132</v>
      </c>
      <c r="B26" s="149">
        <f t="shared" ref="B26:D26" si="3">SUM(B21:B25)</f>
        <v>181</v>
      </c>
      <c r="C26" s="149">
        <f t="shared" si="3"/>
        <v>4</v>
      </c>
      <c r="D26" s="149">
        <f t="shared" si="3"/>
        <v>179</v>
      </c>
      <c r="E26" s="149">
        <f t="shared" si="2"/>
        <v>364</v>
      </c>
    </row>
    <row r="28">
      <c r="A28" s="127"/>
      <c r="B28" s="127"/>
      <c r="C28" s="127"/>
      <c r="D28" s="127"/>
      <c r="E28" s="127"/>
      <c r="F28" s="127"/>
      <c r="G28" s="127"/>
      <c r="H28" s="127"/>
      <c r="I28" s="127"/>
      <c r="J28" s="127"/>
      <c r="K28" s="127"/>
      <c r="L28" s="127"/>
      <c r="M28" s="127"/>
      <c r="N28" s="127"/>
    </row>
    <row r="29">
      <c r="A29" s="127"/>
      <c r="B29" s="127"/>
      <c r="C29" s="127"/>
      <c r="D29" s="127"/>
      <c r="E29" s="127"/>
      <c r="F29" s="127"/>
      <c r="G29" s="127"/>
      <c r="H29" s="127"/>
      <c r="I29" s="127"/>
      <c r="J29" s="127"/>
      <c r="K29" s="127"/>
      <c r="L29" s="127"/>
      <c r="M29" s="127"/>
      <c r="N29" s="127"/>
    </row>
    <row r="30">
      <c r="A30" s="127"/>
      <c r="B30" s="127"/>
      <c r="C30" s="127"/>
      <c r="D30" s="127"/>
      <c r="E30" s="127"/>
      <c r="F30" s="127"/>
      <c r="G30" s="127"/>
      <c r="H30" s="127"/>
      <c r="I30" s="127"/>
      <c r="J30" s="127"/>
      <c r="K30" s="127"/>
      <c r="L30" s="127"/>
      <c r="M30" s="127"/>
      <c r="N30" s="127"/>
    </row>
    <row r="31">
      <c r="A31" s="127"/>
      <c r="B31" s="127"/>
      <c r="C31" s="127"/>
      <c r="D31" s="127"/>
      <c r="E31" s="127"/>
      <c r="F31" s="127"/>
      <c r="G31" s="127"/>
      <c r="H31" s="127"/>
      <c r="I31" s="127"/>
      <c r="J31" s="127"/>
      <c r="K31" s="127"/>
      <c r="L31" s="127"/>
      <c r="M31" s="127"/>
      <c r="N31" s="127"/>
    </row>
    <row r="32">
      <c r="A32" s="127"/>
      <c r="B32" s="127"/>
      <c r="C32" s="127"/>
      <c r="D32" s="127"/>
      <c r="E32" s="127"/>
      <c r="F32" s="127"/>
      <c r="G32" s="127"/>
      <c r="H32" s="127"/>
      <c r="I32" s="127"/>
      <c r="J32" s="127"/>
      <c r="K32" s="127"/>
      <c r="L32" s="127"/>
      <c r="M32" s="127"/>
      <c r="N32" s="127"/>
    </row>
    <row r="33">
      <c r="A33" s="127"/>
      <c r="B33" s="127"/>
      <c r="C33" s="127"/>
      <c r="D33" s="127"/>
      <c r="E33" s="127"/>
      <c r="F33" s="127"/>
      <c r="G33" s="127"/>
      <c r="H33" s="127"/>
      <c r="I33" s="127"/>
      <c r="J33" s="127"/>
      <c r="K33" s="127"/>
      <c r="L33" s="127"/>
      <c r="M33" s="127"/>
      <c r="N33" s="127"/>
    </row>
    <row r="34">
      <c r="A34" s="127"/>
      <c r="B34" s="127"/>
      <c r="C34" s="127"/>
      <c r="D34" s="127"/>
      <c r="E34" s="127"/>
      <c r="F34" s="127"/>
      <c r="G34" s="127"/>
      <c r="H34" s="127"/>
      <c r="I34" s="127"/>
      <c r="J34" s="127"/>
      <c r="K34" s="127"/>
      <c r="L34" s="127"/>
      <c r="M34" s="127"/>
      <c r="N34" s="127"/>
    </row>
  </sheetData>
  <mergeCells count="4">
    <mergeCell ref="A1:G3"/>
    <mergeCell ref="A9:F9"/>
    <mergeCell ref="H9:I9"/>
    <mergeCell ref="A19:E19"/>
  </mergeCells>
  <drawing r:id="rId1"/>
</worksheet>
</file>